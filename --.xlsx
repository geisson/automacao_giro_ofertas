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1B6E40EC-917E-4B13-B311-BA93BD07924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5" i="1" l="1"/>
  <c r="F64" i="1"/>
  <c r="F63" i="1"/>
  <c r="F62" i="1"/>
  <c r="F61" i="1"/>
  <c r="F60" i="1"/>
</calcChain>
</file>

<file path=xl/sharedStrings.xml><?xml version="1.0" encoding="utf-8"?>
<sst xmlns="http://schemas.openxmlformats.org/spreadsheetml/2006/main" count="721" uniqueCount="344">
  <si>
    <t>NOME_PROMOÇÃO</t>
  </si>
  <si>
    <t>SESSÃO</t>
  </si>
  <si>
    <t>ID</t>
  </si>
  <si>
    <t>PRODUTO</t>
  </si>
  <si>
    <t>TIPO</t>
  </si>
  <si>
    <t>PROMOÇÃO</t>
  </si>
  <si>
    <t>BLACK MATRIZ 28/11/25 - ACOUGUE</t>
  </si>
  <si>
    <t>#06 AÇOUGUE - #02 BOVINA</t>
  </si>
  <si>
    <t>ALCATRA BOVINA KG</t>
  </si>
  <si>
    <t>BISTECA BOVINA DO ACÉM KG</t>
  </si>
  <si>
    <t>BISTECA BOVINA DO CONTRA FILE KG</t>
  </si>
  <si>
    <t>CARNE BOVINA SERENADA KG</t>
  </si>
  <si>
    <t>CARNE DE SOL KG SEGUNDA</t>
  </si>
  <si>
    <t>CARNE MOIDA KG</t>
  </si>
  <si>
    <t>CHAMBARI KG</t>
  </si>
  <si>
    <t>CONTRA FILÉ KG</t>
  </si>
  <si>
    <t>COSTELA BOVINA KG</t>
  </si>
  <si>
    <t>COXÃO MOLE KG</t>
  </si>
  <si>
    <t>SUINO CAIPIRA KG</t>
  </si>
  <si>
    <t>#06 AÇOUGUE - #03 SUÍNA</t>
  </si>
  <si>
    <t>BISTECA SUINA CARRE KG</t>
  </si>
  <si>
    <t>BISTECA SUINA DO PERNIL KG</t>
  </si>
  <si>
    <t>INGREDIENTES PARA FEIJOADA KG</t>
  </si>
  <si>
    <t>PANCETA SUINA KG</t>
  </si>
  <si>
    <t>#06 AÇOUGUE - #06 EMBUTIDOS E FRIOS</t>
  </si>
  <si>
    <t>LINGUIÇA CASEIRA BOVINA KG</t>
  </si>
  <si>
    <t>BLACK MATRIZ 28/11/25 - ALTO GIRO</t>
  </si>
  <si>
    <t>#01 MERCEARIA - #01 CEREAIS E GRÃOS</t>
  </si>
  <si>
    <t>ARROZ FLORA PCT 5KG TIPO 1 BRANCO</t>
  </si>
  <si>
    <t>ARROZ PRATO REAL PCT 5KG TIPO 1 BRANCO</t>
  </si>
  <si>
    <t>ARROZ RAMPINELLI PCT 5KG TIPO 1 BRANCO</t>
  </si>
  <si>
    <t>ARROZ REALENGO PCT 5KG TIPO 1 BRANCO</t>
  </si>
  <si>
    <t>ARROZ REI ARTHUR PCT 5KG TIPO 1 BRANCO</t>
  </si>
  <si>
    <t>#01 MERCEARIA - #02 AÇÚCAR E ADOÇANTES</t>
  </si>
  <si>
    <t>AÇUCAR CRISTAL ITAJA 2KG</t>
  </si>
  <si>
    <t>AÇÚCAR CRISTAL ECOÇUCAR 2KG</t>
  </si>
  <si>
    <t>#01 MERCEARIA - #02 FEIJÕES E LEGUMINOSAS</t>
  </si>
  <si>
    <t>FEIJÃO CARIOCA DONA DÊ 1KG</t>
  </si>
  <si>
    <t>FEIJÃO CARIOCA DONA MARIA 1KG</t>
  </si>
  <si>
    <t>FEIJÃO CARIOCA KALDINHO 1KG</t>
  </si>
  <si>
    <t xml:space="preserve">FEIJÃO PRETO KICALDO 1KG </t>
  </si>
  <si>
    <t>#01 MERCEARIA - #02 ÓLEOS E GORDURAS</t>
  </si>
  <si>
    <t>ÓLEO DE SOJA SOYA 900ML</t>
  </si>
  <si>
    <t>BLACK MATRIZ 28/11/25 - ANACONDA BIO</t>
  </si>
  <si>
    <t>#04 HIGIENE PESSOAL - CABELOS</t>
  </si>
  <si>
    <t>MÁSCARA CAPILAR CHIKAS 700G</t>
  </si>
  <si>
    <t>MÁSCARA CAPILAR CHIKAS 700G MATIZA LOIRO</t>
  </si>
  <si>
    <t>BLACK MATRIZ 28/11/25 - BAZAR</t>
  </si>
  <si>
    <t>#03 LIMPEZA - PAPEIS TOALHA</t>
  </si>
  <si>
    <t>GUARDANAPO SANTEPEL 50UN 33CM X 30CM</t>
  </si>
  <si>
    <t>PAPEL TOALHA SCALA 200 FOLHAS MULTIUSO</t>
  </si>
  <si>
    <t>#08 BAZAR - DESCARTÁVEIS</t>
  </si>
  <si>
    <t>COPO DESCARTAVEL CRISTALCOPO 180ML BRANCO</t>
  </si>
  <si>
    <t>#08 BAZAR - EMBALAGENS DOMÉSTICAS</t>
  </si>
  <si>
    <t>FILME DE PVC BOREDA 15M TRANSPARENTE</t>
  </si>
  <si>
    <t>PAPEL ALUMINIO VABENE 45CM X 7,5M</t>
  </si>
  <si>
    <t xml:space="preserve">SACO PLASTICO VABENE 7 L FREEZER E MICROONDAS </t>
  </si>
  <si>
    <t>#08 BAZAR - PANELAS E UTENSÍLIOS DE COZINHA</t>
  </si>
  <si>
    <t>COPO DOSE NADIR OLÉ VIDRO 60ML</t>
  </si>
  <si>
    <t>CUSCUZEIRO FOME ZERO ALILAR</t>
  </si>
  <si>
    <t>PANELA DE PRESSÃO MEGA ALUMÍNIO 4,5L POLIDA</t>
  </si>
  <si>
    <t>#08 BAZAR - UTENSÍLIOS DE COZINHA / TÉRMICOS</t>
  </si>
  <si>
    <t>GARRAFA TERMICA TERMOLAR PERSONAL 1L</t>
  </si>
  <si>
    <t>PRETA, VERMELHA</t>
  </si>
  <si>
    <t>GARRAFÃO TERMICO TERMOLAR 5L</t>
  </si>
  <si>
    <t>AZUL, CINZA, VERMELHO</t>
  </si>
  <si>
    <t>BLACK MATRIZ 28/11/25 - BEBIDAS</t>
  </si>
  <si>
    <t>#05 BEBIDA - #00 BEBIDAS GASEIFICADAS</t>
  </si>
  <si>
    <t>REFRIGERANTE ANTARCTICA 2L SODA LIMONADA</t>
  </si>
  <si>
    <t>REFRIGERANTE COCA COLA 2L</t>
  </si>
  <si>
    <t>REFRIGERANTE FANTA 2L</t>
  </si>
  <si>
    <t>LARANJA, UVA</t>
  </si>
  <si>
    <t>REFRIGERANTE GUARANA ANTARCTICA 2L</t>
  </si>
  <si>
    <t>#05 BEBIDA - #00 ENERGÉTICOS</t>
  </si>
  <si>
    <t>ENERGETICO EXTRA POWER 2L</t>
  </si>
  <si>
    <t>#05 BEBIDA - #01 SUCOS PRONTOS</t>
  </si>
  <si>
    <t>SUCO AURORA TP 1,5L UVA TINTO</t>
  </si>
  <si>
    <t>SUCO PRONTO DAFRUTA 1L NECTAR UVA</t>
  </si>
  <si>
    <t>#05 BEBIDA - CERVEJAS</t>
  </si>
  <si>
    <t xml:space="preserve">CERVEJA BUDWEISER 330ML LONG NECK LAGER </t>
  </si>
  <si>
    <t>CERVEJA BUDWEISER LAGER LONG NECK 330ML</t>
  </si>
  <si>
    <t>CERVEJA HEINEKEN 330ML</t>
  </si>
  <si>
    <t>#05 BEBIDA - CERVEJAS CX</t>
  </si>
  <si>
    <t>CERVEJA AMSTEL 12 X 269ML LAGER</t>
  </si>
  <si>
    <t>CERVEJA ANTARCTICA 15 X 269ML PILSEN</t>
  </si>
  <si>
    <t xml:space="preserve">CERVEJA BRAHMA 15 X 269ML CHOPP </t>
  </si>
  <si>
    <t>CERVEJA HEINEKEN 6 X 330ML</t>
  </si>
  <si>
    <t>CERVEJA HEINEKEN 8 X 269ML</t>
  </si>
  <si>
    <t xml:space="preserve">CERVEJA SKOL 15 X 269ML PILSEN </t>
  </si>
  <si>
    <t>#05 BEBIDA - DESTILADOS</t>
  </si>
  <si>
    <t>BEBIDA ALCOOLICA FIU FIU 750ML</t>
  </si>
  <si>
    <t>ABACAXI CORTELA, TANGERINA ACEROLA</t>
  </si>
  <si>
    <t>CACHAÇA 51 600ML RAIZ</t>
  </si>
  <si>
    <t>CACHAÇA 51 965ML</t>
  </si>
  <si>
    <t>CACHAÇA BANANAZINHA 900ML</t>
  </si>
  <si>
    <t>CAMPARI 998ML</t>
  </si>
  <si>
    <t>GIN TANQUERAY 750ML LONDON</t>
  </si>
  <si>
    <t>VODKA ABSOLUT 1L</t>
  </si>
  <si>
    <t>WHISKY OLD PARR 1L 12 ANOS</t>
  </si>
  <si>
    <t>WHISKY WHITE HORSE 1L</t>
  </si>
  <si>
    <t>#05 BEBIDA - FERMENTADOS</t>
  </si>
  <si>
    <t>CHOPP DE VINHO STEMPEL 600ML RED</t>
  </si>
  <si>
    <t>VINHO GALIOTTO 1L TINTO SUAVE</t>
  </si>
  <si>
    <t>BLACK MATRIZ 28/11/25 - BETTANIN</t>
  </si>
  <si>
    <t>#08 BAZAR - LIMPEZA</t>
  </si>
  <si>
    <t>VASSOURA BETTANIN VARRY 1000</t>
  </si>
  <si>
    <t>BLACK MATRIZ 28/11/25 - ESMALTE RISQUÊ</t>
  </si>
  <si>
    <t>#04 HIGIENE PESSOAL - ESMALTES</t>
  </si>
  <si>
    <t>ESMALTE RISQUE 7,5ML</t>
  </si>
  <si>
    <t>ESMALTE RISQUE 8ML</t>
  </si>
  <si>
    <t>BLACK MATRIZ 28/11/25 - FARINÁCEOS</t>
  </si>
  <si>
    <t>#02 MERCEARIA - BISCOITOS E SALGADINHOS</t>
  </si>
  <si>
    <t>MILHO DE PIPOCA SINHA 400G</t>
  </si>
  <si>
    <t>#02 MERCEARIA - FARINHAS E DERIVADOS</t>
  </si>
  <si>
    <t>CUSCUZ DE MILHO SINHA 500G</t>
  </si>
  <si>
    <t>FARINHA DE MANDIOCA AMAFIL 1KG AMARELA OURO</t>
  </si>
  <si>
    <t>FARINHA DE TRIGO DONA BENTA 1KG COM FERMENTO</t>
  </si>
  <si>
    <t>FARINHA DE TRIGO DONA BENTA 1KG SEM FERMENTO</t>
  </si>
  <si>
    <t>FARINHA DE TRIGO ORQUIDEA 1KG SEM FERMENTO</t>
  </si>
  <si>
    <t>FLOCÃO DE ARROZ JALAPÃO 400G</t>
  </si>
  <si>
    <t>FLOCÃO DE MILHO AMAFIL 500G</t>
  </si>
  <si>
    <t>FLOCÃO DE MILHO BONOMILHO 500G</t>
  </si>
  <si>
    <t>MASSA PARA TAPIOCA AMAFIL 1KG</t>
  </si>
  <si>
    <t>POLVILHO MATUTO 1KG AZEDO</t>
  </si>
  <si>
    <t>POLVILHO MATUTO 1KG DOCE</t>
  </si>
  <si>
    <t>BLACK MATRIZ 28/11/25 - HASKELL</t>
  </si>
  <si>
    <t>CONDICIONADOR HASKELL 500G ROSA MOSQUETA</t>
  </si>
  <si>
    <t>CREME FINALIZADOR DE CRESPOS HASKELL 500G MANTEIGA DE MURU</t>
  </si>
  <si>
    <t>CREME PARA PENTEAR HASKELL 500G SE CURVE CACHOS</t>
  </si>
  <si>
    <t>FINALIZADOR HASKELL 500G CURVA E COLA</t>
  </si>
  <si>
    <t>GOMA TEXTURIZADA HASKELL 500G GOMAS DE TAPIOCA E LINHAÇA</t>
  </si>
  <si>
    <t>KIT SHAMPOO E CONDICIONADOR HASKELL 1KIT</t>
  </si>
  <si>
    <t>MANDIOCA, MURUMURU</t>
  </si>
  <si>
    <t>KIT SHAMPOO E CONDICIONADOR HASKELL 1KIT CAVALO FORTE</t>
  </si>
  <si>
    <t>KIT SHAMPOO E CONDICIONADOR HASKELL 1KIT SOS VERÃO</t>
  </si>
  <si>
    <t>KIT SHAMPOO E CONDICIONADOR HASKELL 500ML MANDIOCA</t>
  </si>
  <si>
    <t>KIT SHAMPOO E CONDICIONADOR HASKELL 500ML MURUMURU</t>
  </si>
  <si>
    <t>MASCARA CAPILAR HASKELL 500G</t>
  </si>
  <si>
    <t>KARITE CUPUACU E MURUMURU, MANTEIGA DE MANGA, OLEOS DE RICINO PEQUI E MACADAMIA</t>
  </si>
  <si>
    <t>MODELADOR DE CACHOS HASKELL 500G BABOSA E MANTEIGA DE PISTACHE</t>
  </si>
  <si>
    <t>MÁSCARA CAPILAR CAVALO FORTE HASKELL 900G</t>
  </si>
  <si>
    <t>SHAMPOO HASKELL 500G ROSA MOSQUETA E ÓLEO DE RICINO</t>
  </si>
  <si>
    <t>BLACK MATRIZ 28/11/25 - HORTIFRUTI</t>
  </si>
  <si>
    <t>#09 HORTIFRUTI - FRUTAS</t>
  </si>
  <si>
    <t>BANANA PRATA KG</t>
  </si>
  <si>
    <t>LARANJA KG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</si>
  <si>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</si>
  <si>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</si>
  <si>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</si>
  <si>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</si>
  <si>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</si>
  <si>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</si>
  <si>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CEBOLA NACIONAL KG</t>
  </si>
  <si>
    <t>#09 HORTIFRUTI - VERDURAS E FOLHAGENS</t>
  </si>
  <si>
    <t>REPOLHO VERDE KG</t>
  </si>
  <si>
    <t>BLACK MATRIZ 28/11/25 - LIMPEZA</t>
  </si>
  <si>
    <t>#03 LIMPEZA - ALVEJANTES E ÁGUA SANITÁRIA</t>
  </si>
  <si>
    <t>ÁGUA SANITÁRIA QBOA 1L</t>
  </si>
  <si>
    <t>ÁGUA SANITÁRIA QBOA 2L</t>
  </si>
  <si>
    <t>#03 LIMPEZA - AMACIANTES</t>
  </si>
  <si>
    <t>AMACIANTE DE ROUPAS +FAMILIA 5L ORIGINAL</t>
  </si>
  <si>
    <t>AMACIANTE DE ROUPAS YPÊ 2L</t>
  </si>
  <si>
    <t>#03 LIMPEZA - DESINFETANTES</t>
  </si>
  <si>
    <t>DESINFETANTE PINHO BRIL 1L</t>
  </si>
  <si>
    <t>DESINFETANTE YPÊ BAK 2L</t>
  </si>
  <si>
    <t>#03 LIMPEZA - DETERGENTES</t>
  </si>
  <si>
    <t>DETERGENTE LIQUIDO LAVABEM 500ML</t>
  </si>
  <si>
    <t>DETERGENTE LIQUIDO YPÊ 500ML</t>
  </si>
  <si>
    <t>#03 LIMPEZA - LIMPA ALUMINIO</t>
  </si>
  <si>
    <t>LIMPA ALUMINIO POLITRIZ 500ML</t>
  </si>
  <si>
    <t>#03 LIMPEZA - LIMPADORES</t>
  </si>
  <si>
    <t>LIMPADOR MULTIUSO VEJA 500ML PROMOCIONAL</t>
  </si>
  <si>
    <t>ODORIZADOR PURA CASA 400ML</t>
  </si>
  <si>
    <t>#03 LIMPEZA - SABÃO</t>
  </si>
  <si>
    <t>SABÃO EM BARRA REGENTE 5 X 200G NEUTRO</t>
  </si>
  <si>
    <t>SABÃO EM BARRA YPÊ 900G NEUTRO</t>
  </si>
  <si>
    <t>SABÃO EM PÓ BRILHANTE CAIXA 1,6KG LIMPEZA TOTAL</t>
  </si>
  <si>
    <t>SABÃO EM PÓ BRILHANTE SACHÊ 1,6KG LIMPEZA TOTAL</t>
  </si>
  <si>
    <t>SABÃO EM PÓ OMO CAIXA 800G LAVAGEM PERFEITA</t>
  </si>
  <si>
    <t>SABÃO EM PÓ TIXAN YPÊ CAIXA 800G</t>
  </si>
  <si>
    <t>MACIEZ, PRIMAVERA</t>
  </si>
  <si>
    <t>SABÃO LIQUIDO OMO 3L MULTIACAO</t>
  </si>
  <si>
    <t>#03 LIMPEZA - SODAS</t>
  </si>
  <si>
    <t>SODA CAUSTICA SOL 1KG</t>
  </si>
  <si>
    <t>BLACK MATRIZ 28/11/25 - LP GUIMARAES</t>
  </si>
  <si>
    <t>#02 MERCEARIA - CONDIMENTOS E TEMPEROS</t>
  </si>
  <si>
    <t>TEMPERO EM PÓ SAZON SACHÊ 60G</t>
  </si>
  <si>
    <t>#02 MERCEARIA - MASSAS INSTANTÂNEAS</t>
  </si>
  <si>
    <t>MACARRÃO INSTANTANEO NISSIN LAMEN 85G</t>
  </si>
  <si>
    <t>BLACK MATRIZ 28/11/25 - MERCEARIA DOCE</t>
  </si>
  <si>
    <t>#02 MERCEARIA - ACHOCOLATADOS E CAFÉ</t>
  </si>
  <si>
    <t>ACHOCOLATADO EM PÓ TODDY 750G</t>
  </si>
  <si>
    <t>CAFÉ MARATA 250G TRADICIONAL</t>
  </si>
  <si>
    <t>BISCOITO CREAM CRACKER FORTALEZA 350G</t>
  </si>
  <si>
    <t>BISCOITO CREAM CRACKER GALLO 360G</t>
  </si>
  <si>
    <t>BISCOITO CREAM CRACKER MARILAN 350G ESPECIAL</t>
  </si>
  <si>
    <t>BISCOITO ROSQUINHA MABEL 600G COCO</t>
  </si>
  <si>
    <t>#02 MERCEARIA - CHOCOLATES E DOCES</t>
  </si>
  <si>
    <t>CHOCOLATE EM BARRA NEUGEBAUER 80G</t>
  </si>
  <si>
    <t>DOCE DE LEITE PIRACANJUBA 350G ZERO LACTOSE</t>
  </si>
  <si>
    <t>#02 MERCEARIA - CONSERVAS - DOCES</t>
  </si>
  <si>
    <t>DOCE DE PESSEGO GB 450G METADES</t>
  </si>
  <si>
    <t>FARINHA LACTEA NESTLÉ 160G ORIGINAL</t>
  </si>
  <si>
    <t>#02 MERCEARIA - LATICÍNIOS - BEBIDAS LACTEAS</t>
  </si>
  <si>
    <t>TODDYNHO 200ML</t>
  </si>
  <si>
    <t>CHOCOLATE</t>
  </si>
  <si>
    <t>#02 MERCEARIA - LATICÍNIOS - DERIVADOS LACTEOS</t>
  </si>
  <si>
    <t>CREME DE LEITE ITALAC 200G</t>
  </si>
  <si>
    <t>CREME DE LEITE LEITBOM 200G</t>
  </si>
  <si>
    <t>LEITE CONDENSADO ITALAC 395G SEMIDESNATADO</t>
  </si>
  <si>
    <t>LEITE CONDENSADO PIRACANJUBA 395G</t>
  </si>
  <si>
    <t>#02 MERCEARIA - LATICÍNIOS - LEITE</t>
  </si>
  <si>
    <t xml:space="preserve">LEITE LONGA VIDA ITALAC 1L INTEGRAL ZERO LACTOSE </t>
  </si>
  <si>
    <t>LEITE LONGA VIDA LEITBOM 1L INTEGRAL</t>
  </si>
  <si>
    <t>#02 MERCEARIA - LATICÍNIOS - LEITE EM PÓ</t>
  </si>
  <si>
    <t>LEITE EM PÓ CCGL 1KG INTEGRAL</t>
  </si>
  <si>
    <t>LEITE EM PÓ NINHO LATA 380G INTEGRAL INSTANTANEO</t>
  </si>
  <si>
    <t>BLACK MATRIZ 28/11/25 - MERCEARIA SALGADA</t>
  </si>
  <si>
    <t>AZEITE DE OLIVA GALLO VIDRO 500ML EXTRA VIRGEM</t>
  </si>
  <si>
    <t>AZEITE DE OLIVA GALLO VIDRO 500ML TIPO UNICO</t>
  </si>
  <si>
    <t>AZEITONAS VERDES LA VIOLETERA 500G COM CAROCO</t>
  </si>
  <si>
    <t xml:space="preserve">AZEITONAS VERDES RIVOLI DOYPACK 200G </t>
  </si>
  <si>
    <t>COGUMELO OLÉ 160G INTEIRO</t>
  </si>
  <si>
    <t>EXTRATO DE TOMATE ELEFANTE POTE 300G</t>
  </si>
  <si>
    <t>EXTRATO DE TOMATE OLE COPO 190G</t>
  </si>
  <si>
    <t>KETCHUP QUERO 400G</t>
  </si>
  <si>
    <t>PICANTE, TRADICIONAL</t>
  </si>
  <si>
    <t>MAIONESE HELLMANNS 500G TRADICIONAL</t>
  </si>
  <si>
    <t>MAIONESE QUERO SACHÊ 200G</t>
  </si>
  <si>
    <t>MOLHO DE TOMATE SÓ FRUTA 300G TRADICIONAL</t>
  </si>
  <si>
    <t>MOLHO QUERO PRONTO SACHÊ 240G TRADICIONAL</t>
  </si>
  <si>
    <t>TEMPERO COMPLETO ARISCO 1KG COM PIMENTA</t>
  </si>
  <si>
    <t>TEMPERO COMPLETO SABORELLE 270G</t>
  </si>
  <si>
    <t>SEM PIMENTA, TRADICIONAL</t>
  </si>
  <si>
    <t>VINAGRE CASTELO 750ML</t>
  </si>
  <si>
    <t>ALCOOL, ALCOOL COLORIDO</t>
  </si>
  <si>
    <t>#02 MERCEARIA - CONSERVAS - HORTIFRUTI</t>
  </si>
  <si>
    <t>MILHO VERDE QUERO LATA 170G</t>
  </si>
  <si>
    <t>MILHO VERDE SOFRUTA LATA 170G</t>
  </si>
  <si>
    <t>PALMITO PERIQUITU 300G AÇAI INTEIRO</t>
  </si>
  <si>
    <t>PICLES PERIQUITU 300G EM CONSERVA</t>
  </si>
  <si>
    <t>#02 MERCEARIA - CONSERVAS - SARDINHAS</t>
  </si>
  <si>
    <t>SARDINHA GOMES DA COSTA 125G</t>
  </si>
  <si>
    <t>DEFUMADA, LIMAO, TOMATE, ÓLEO</t>
  </si>
  <si>
    <t>#02 MERCEARIA - MASSAS</t>
  </si>
  <si>
    <t>MACARRÃO PAULISTA 500G PARAFUSO COM OVOS</t>
  </si>
  <si>
    <t>MACARRÃO PAULISTA 500G SEMOLA ESPAGUETE</t>
  </si>
  <si>
    <t>MACARRÃO RICOSA 400G ESPAGUETE COMUM</t>
  </si>
  <si>
    <t xml:space="preserve">MASSA PARA LASANHA FORTALEZA 500G SEMOLA </t>
  </si>
  <si>
    <t>BLACK MATRIZ 28/11/25 - PADARIA</t>
  </si>
  <si>
    <t>#11 PADARIA</t>
  </si>
  <si>
    <t>BOLO DA VOVÓ KG</t>
  </si>
  <si>
    <t>BOLO DECORADO KG CHANTILLY</t>
  </si>
  <si>
    <t>BOLO DECORADO KG GANACHE</t>
  </si>
  <si>
    <t>PÃO DE FORMA GIRO UM</t>
  </si>
  <si>
    <t>BLACK MATRIZ 28/11/25 - PAS PESAVEIS</t>
  </si>
  <si>
    <t>#02 MERCEARIA - LATICÍNIOS - QUEIJO</t>
  </si>
  <si>
    <t>QUEIJO MUSSARELA THETIZ KG</t>
  </si>
  <si>
    <t>#06 AÇOUGUE - #01 AVES</t>
  </si>
  <si>
    <t>COXA COM SOBRECOXA DE FRANGO KG</t>
  </si>
  <si>
    <t>COXINHA DA ASA DE FRANGO KG</t>
  </si>
  <si>
    <t>FILÉ DE PEITO DE FRANGO KG</t>
  </si>
  <si>
    <t xml:space="preserve">FRANGO AMERICANO KG CONGELADO </t>
  </si>
  <si>
    <t>BACON SADIA KG VACUO</t>
  </si>
  <si>
    <t>LINGUIÇA CALABRESA NUTRIBRAS KG</t>
  </si>
  <si>
    <t>LINGUIÇA GROSSA SUPER FRANGO KG</t>
  </si>
  <si>
    <t>LINGUIÇA MISTA FRICÓ KG</t>
  </si>
  <si>
    <t xml:space="preserve">MORTADELA PERDIGAO KG MISTA </t>
  </si>
  <si>
    <t>PRESUNTO SEARA KG</t>
  </si>
  <si>
    <t>SALSICHA FRIATO KG</t>
  </si>
  <si>
    <t>BLACK MATRIZ 28/11/25 - PAS UNITÁRIOS</t>
  </si>
  <si>
    <t>#02 MERCEARIA - CONGELADOS - MASSAS</t>
  </si>
  <si>
    <t>PÃO DE QUEIJO VÓ LUIZA 800G CONGELADO</t>
  </si>
  <si>
    <t>#02 MERCEARIA - GORDURAS E MARGARINAS</t>
  </si>
  <si>
    <t>MARGARINA DELICIA 1KG COM CREME DE LEITE</t>
  </si>
  <si>
    <t>IOGURTE DANONE 1250G</t>
  </si>
  <si>
    <t>COCO, MORANGO, VITAMINA DE FRUTAS</t>
  </si>
  <si>
    <t>REQUEIJÃO BOUA 180G CREMOSO TRADICIONAL</t>
  </si>
  <si>
    <t>REQUEIJÃO BOUA 380G CREMOSO TRADICIONAL</t>
  </si>
  <si>
    <t>REQUEIJÃO CANTO DE MINAS 200G CREMOSO TRADICIONAL</t>
  </si>
  <si>
    <t xml:space="preserve">REQUEIJÃO CANTO DE MINAS BISNAGA 1,8 KG CREMOSO </t>
  </si>
  <si>
    <t>#05 BEBIDA - #01 POLPAS</t>
  </si>
  <si>
    <t>POLPA DE FRUTA ESPERANÇA 1KG ACEROLA</t>
  </si>
  <si>
    <t>COXINHA DA ASA DE FRANGO SADIA PCT 1KG DRUMETE</t>
  </si>
  <si>
    <t>MEIO DE DA ASA FRANGO SADIA PCT 1KG TULIPA</t>
  </si>
  <si>
    <t xml:space="preserve">LINGUIÇA DEFUMADA SEARA 215G FININHA </t>
  </si>
  <si>
    <t>#06 AÇOUGUE - #07 EMPANADOS E PRATOS PRONTOS</t>
  </si>
  <si>
    <t>TEKITOS SEARA 300G</t>
  </si>
  <si>
    <t>FRANGO, QUEIJO COM OREGANO</t>
  </si>
  <si>
    <t>BLACK MATRIZ 28/11/25 - PERFUMARIA</t>
  </si>
  <si>
    <t>COLONIA INFANTIL TURMA DA XUXINHA BARUEL 210ML</t>
  </si>
  <si>
    <t>LAVANDA, TOQUE DELICADO</t>
  </si>
  <si>
    <t>COLONIA INFANTIL TURMA DA XUXINHA BARUEL 400ML LAVANDA</t>
  </si>
  <si>
    <t>CONDICIONADOR TURMA DA XUXINHA BARUEL 120ML</t>
  </si>
  <si>
    <t>CACHOS, CACHOS CACHEADOS, SONO TRANQUILO</t>
  </si>
  <si>
    <t>CREME PARA PENTEAR TURMA DA XUXINHA BARUEL 150ML CACHOS</t>
  </si>
  <si>
    <t>KIT SHAMPOO E CONDICIONADOR NIELY GOLD 1KIT</t>
  </si>
  <si>
    <t>KIT SHAMPOO E CONDICIONADOR TURMA DA XUXINHA BARUEL</t>
  </si>
  <si>
    <t>SHAMPOO TURMA DA XUXINHA BARUEL 120ML</t>
  </si>
  <si>
    <t>CABELOS CACHEADOS, CAMOMILA, SONO TRANQUILO, SUAVE</t>
  </si>
  <si>
    <t>TINTURA CAPILAR BIOCOLOR MINI KIT 1UN</t>
  </si>
  <si>
    <t>#04 HIGIENE PESSOAL - DESODORANTE</t>
  </si>
  <si>
    <t>DESODORANTE DOVE AEROSOL 150ML ORIGINAL</t>
  </si>
  <si>
    <t>DESODORANTE HERBISSIMO STICK CREME 45G</t>
  </si>
  <si>
    <t>DESODORANTE MOOD AEROSOL 150ML</t>
  </si>
  <si>
    <t>#04 HIGIENE PESSOAL - FRALDAS</t>
  </si>
  <si>
    <t>FRALDA DESCARTAVEL POM POM SHORTINHO JUMBINHO 1PCT</t>
  </si>
  <si>
    <t>12UN XXG, 16UN G, 18UN M</t>
  </si>
  <si>
    <t>FRALDA DESCARTAVEL POM POM SHORTINHO JUMBO 1PCT</t>
  </si>
  <si>
    <t>24UN XXG, 34UN M</t>
  </si>
  <si>
    <t>#04 HIGIENE PESSOAL - HIGIENE BUCAL</t>
  </si>
  <si>
    <t>CREME DENTAL COLGATE 180G</t>
  </si>
  <si>
    <t>TRIPLA AÇÃO, TRIPLA AÇÃO ESPECIAL</t>
  </si>
  <si>
    <t>#04 HIGIENE PESSOAL - INTIMA</t>
  </si>
  <si>
    <t>ABSORVENTE INTIMUS GEL 8 X 1 1PCT</t>
  </si>
  <si>
    <t>NOTURNO SECA COM ABAS, NOTURNO SUAVE COM ABAS</t>
  </si>
  <si>
    <t>HASTES FLEXIVEIS COTTONBABY POTE 150UN</t>
  </si>
  <si>
    <t>LENÇOS UMEDECIDOS COTTONBABY 50UN</t>
  </si>
  <si>
    <t>CUIDADO PELE, HIDRATAÇÃO INTENSA</t>
  </si>
  <si>
    <t>LENÇOS UMEDECIDOS COTTONBABY 50UN RECEM NASCIDO</t>
  </si>
  <si>
    <t>#04 HIGIENE PESSOAL - MASCULINO</t>
  </si>
  <si>
    <t>CREME DE BARBEAR BOZZANO 65G</t>
  </si>
  <si>
    <t>ALOE VERA, MENTOLADO, PELE SENSIVEL</t>
  </si>
  <si>
    <t>#04 HIGIENE PESSOAL - PAPEL HIGIENICO</t>
  </si>
  <si>
    <t>PAPEL HIGIENICO MIMMO 16 X 30M PROMOCIONAL</t>
  </si>
  <si>
    <t>PAPEL HIGIÊNICO NEVE 4 X 30M NEUTRO</t>
  </si>
  <si>
    <t>#04 HIGIENE PESSOAL - SABONETE</t>
  </si>
  <si>
    <t>SABONETE REXONA 84G</t>
  </si>
  <si>
    <t>#04 HIGIENE PESSOAL - TALCOS</t>
  </si>
  <si>
    <t>TALCO DESODORANTE TENYS PÉ 60G</t>
  </si>
  <si>
    <t>CONFORADO, NORMAL, WOMAN</t>
  </si>
  <si>
    <t>BLACK MATRIZ 28/11/25 - RB AGUIAR</t>
  </si>
  <si>
    <t>TEMPERO EM PÓ SANDELLA 50G</t>
  </si>
  <si>
    <t>MACARRÃO INSTANTANEO SANDELLA 85G</t>
  </si>
  <si>
    <t>BLACK MATRIZ 28/11/25 - START QUIMICA</t>
  </si>
  <si>
    <t>AMACIANTE DE ROUPAS TUFF 1L</t>
  </si>
  <si>
    <t>DESINFETANTE AZULIM START 1L</t>
  </si>
  <si>
    <t>DESINFETANTE START VOREL 2L</t>
  </si>
  <si>
    <t>#03 LIMPEZA - LAVA ROUPAS</t>
  </si>
  <si>
    <t>LAVA ROUPAS LIQUIDO TUFF 5L CONCENTRADO</t>
  </si>
  <si>
    <t>LIMPA ALUMINIO POLYLAR 500ML</t>
  </si>
  <si>
    <t>LIMÃO, MAÇÃ</t>
  </si>
  <si>
    <t>ARROZ BREJEIRO PCT 5KG TIPO 1 BRANCO -  ATÉ 6 UNIDADES</t>
  </si>
  <si>
    <t>ARROZ BREJEIRO PCT 5KG TIPO 1 BRANCO - MAIS DE 6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</si>
</sst>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8" fillId="3" borderId="1" xfId="0" applyNumberFormat="1" applyFont="1" applyFill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4"/>
  <sheetViews>
    <sheetView showGridLines="0" tabSelected="1" topLeftCell="A184" workbookViewId="0">
      <selection activeCell="E192" sqref="E192"/>
    </sheetView>
  </sheetViews>
  <sheetFormatPr defaultRowHeight="15" x14ac:dyDescent="0.25"/>
  <cols>
    <col min="1" max="1" width="32.85546875" bestFit="1" customWidth="1"/>
    <col min="2" max="2" width="37.5703125" bestFit="1" customWidth="1"/>
    <col min="3" max="3" width="6.42578125" bestFit="1" customWidth="1"/>
    <col min="4" max="4" width="57.5703125" bestFit="1" customWidth="1"/>
    <col min="5" max="5" width="34" style="11" customWidth="1"/>
    <col min="6" max="6" width="10.7109375" style="1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2" t="s">
        <v>5</v>
      </c>
    </row>
    <row r="2" spans="1:6" x14ac:dyDescent="0.25">
      <c r="A2" s="2" t="s">
        <v>6</v>
      </c>
      <c r="B2" s="2" t="s">
        <v>7</v>
      </c>
      <c r="C2" s="3">
        <v>105450</v>
      </c>
      <c r="D2" s="4" t="s">
        <v>8</v>
      </c>
      <c r="E2" s="9"/>
      <c r="F2" s="13">
        <v>38.99</v>
      </c>
    </row>
    <row r="3" spans="1:6" x14ac:dyDescent="0.25">
      <c r="A3" s="2" t="s">
        <v>6</v>
      </c>
      <c r="B3" s="2" t="s">
        <v>7</v>
      </c>
      <c r="C3" s="3">
        <v>158997</v>
      </c>
      <c r="D3" s="4" t="s">
        <v>9</v>
      </c>
      <c r="E3" s="9"/>
      <c r="F3" s="13">
        <v>15.99</v>
      </c>
    </row>
    <row r="4" spans="1:6" x14ac:dyDescent="0.25">
      <c r="A4" s="5" t="s">
        <v>6</v>
      </c>
      <c r="B4" s="5" t="s">
        <v>7</v>
      </c>
      <c r="C4" s="6">
        <v>105461</v>
      </c>
      <c r="D4" s="7" t="s">
        <v>10</v>
      </c>
      <c r="E4" s="10"/>
      <c r="F4" s="14">
        <v>32.99</v>
      </c>
    </row>
    <row r="5" spans="1:6" x14ac:dyDescent="0.25">
      <c r="A5" s="5" t="s">
        <v>6</v>
      </c>
      <c r="B5" s="5" t="s">
        <v>7</v>
      </c>
      <c r="C5" s="6">
        <v>105457</v>
      </c>
      <c r="D5" s="7" t="s">
        <v>11</v>
      </c>
      <c r="E5" s="10"/>
      <c r="F5" s="14">
        <v>33.99</v>
      </c>
    </row>
    <row r="6" spans="1:6" x14ac:dyDescent="0.25">
      <c r="A6" s="2" t="s">
        <v>6</v>
      </c>
      <c r="B6" s="2" t="s">
        <v>7</v>
      </c>
      <c r="C6" s="3">
        <v>105456</v>
      </c>
      <c r="D6" s="4" t="s">
        <v>12</v>
      </c>
      <c r="E6" s="9"/>
      <c r="F6" s="13">
        <v>25.99</v>
      </c>
    </row>
    <row r="7" spans="1:6" x14ac:dyDescent="0.25">
      <c r="A7" s="5" t="s">
        <v>6</v>
      </c>
      <c r="B7" s="5" t="s">
        <v>7</v>
      </c>
      <c r="C7" s="6">
        <v>105468</v>
      </c>
      <c r="D7" s="7" t="s">
        <v>13</v>
      </c>
      <c r="E7" s="10"/>
      <c r="F7" s="14">
        <v>18.989999999999998</v>
      </c>
    </row>
    <row r="8" spans="1:6" x14ac:dyDescent="0.25">
      <c r="A8" s="5" t="s">
        <v>6</v>
      </c>
      <c r="B8" s="5" t="s">
        <v>7</v>
      </c>
      <c r="C8" s="6">
        <v>105458</v>
      </c>
      <c r="D8" s="7" t="s">
        <v>14</v>
      </c>
      <c r="E8" s="10"/>
      <c r="F8" s="14">
        <v>16.989999999999998</v>
      </c>
    </row>
    <row r="9" spans="1:6" x14ac:dyDescent="0.25">
      <c r="A9" s="5" t="s">
        <v>6</v>
      </c>
      <c r="B9" s="5" t="s">
        <v>7</v>
      </c>
      <c r="C9" s="6">
        <v>105451</v>
      </c>
      <c r="D9" s="7" t="s">
        <v>15</v>
      </c>
      <c r="E9" s="10"/>
      <c r="F9" s="14">
        <v>36.99</v>
      </c>
    </row>
    <row r="10" spans="1:6" x14ac:dyDescent="0.25">
      <c r="A10" s="5" t="s">
        <v>6</v>
      </c>
      <c r="B10" s="5" t="s">
        <v>7</v>
      </c>
      <c r="C10" s="6">
        <v>105471</v>
      </c>
      <c r="D10" s="7" t="s">
        <v>16</v>
      </c>
      <c r="E10" s="10"/>
      <c r="F10" s="14">
        <v>17.989999999999998</v>
      </c>
    </row>
    <row r="11" spans="1:6" x14ac:dyDescent="0.25">
      <c r="A11" s="5" t="s">
        <v>6</v>
      </c>
      <c r="B11" s="5" t="s">
        <v>7</v>
      </c>
      <c r="C11" s="6">
        <v>105435</v>
      </c>
      <c r="D11" s="7" t="s">
        <v>17</v>
      </c>
      <c r="E11" s="10"/>
      <c r="F11" s="14">
        <v>36.99</v>
      </c>
    </row>
    <row r="12" spans="1:6" x14ac:dyDescent="0.25">
      <c r="A12" s="5" t="s">
        <v>6</v>
      </c>
      <c r="B12" s="5" t="s">
        <v>7</v>
      </c>
      <c r="C12" s="6">
        <v>298422</v>
      </c>
      <c r="D12" s="7" t="s">
        <v>18</v>
      </c>
      <c r="E12" s="10"/>
      <c r="F12" s="14">
        <v>21.99</v>
      </c>
    </row>
    <row r="13" spans="1:6" x14ac:dyDescent="0.25">
      <c r="A13" s="2" t="s">
        <v>6</v>
      </c>
      <c r="B13" s="2" t="s">
        <v>19</v>
      </c>
      <c r="C13" s="3">
        <v>106053</v>
      </c>
      <c r="D13" s="4" t="s">
        <v>20</v>
      </c>
      <c r="E13" s="9"/>
      <c r="F13" s="13">
        <v>17.989999999999998</v>
      </c>
    </row>
    <row r="14" spans="1:6" x14ac:dyDescent="0.25">
      <c r="A14" s="2" t="s">
        <v>6</v>
      </c>
      <c r="B14" s="2" t="s">
        <v>19</v>
      </c>
      <c r="C14" s="3">
        <v>105062</v>
      </c>
      <c r="D14" s="4" t="s">
        <v>21</v>
      </c>
      <c r="E14" s="9"/>
      <c r="F14" s="13">
        <v>17.989999999999998</v>
      </c>
    </row>
    <row r="15" spans="1:6" x14ac:dyDescent="0.25">
      <c r="A15" s="5" t="s">
        <v>6</v>
      </c>
      <c r="B15" s="5" t="s">
        <v>19</v>
      </c>
      <c r="C15" s="6">
        <v>106008</v>
      </c>
      <c r="D15" s="7" t="s">
        <v>22</v>
      </c>
      <c r="E15" s="10"/>
      <c r="F15" s="14">
        <v>14.99</v>
      </c>
    </row>
    <row r="16" spans="1:6" x14ac:dyDescent="0.25">
      <c r="A16" s="5" t="s">
        <v>6</v>
      </c>
      <c r="B16" s="5" t="s">
        <v>19</v>
      </c>
      <c r="C16" s="6">
        <v>258810</v>
      </c>
      <c r="D16" s="7" t="s">
        <v>23</v>
      </c>
      <c r="E16" s="10"/>
      <c r="F16" s="14">
        <v>15.99</v>
      </c>
    </row>
    <row r="17" spans="1:6" x14ac:dyDescent="0.25">
      <c r="A17" s="5" t="s">
        <v>6</v>
      </c>
      <c r="B17" s="5" t="s">
        <v>24</v>
      </c>
      <c r="C17" s="6">
        <v>305039</v>
      </c>
      <c r="D17" s="7" t="s">
        <v>25</v>
      </c>
      <c r="E17" s="10"/>
      <c r="F17" s="14">
        <v>16.989999999999998</v>
      </c>
    </row>
    <row r="19" spans="1:6" x14ac:dyDescent="0.25">
      <c r="A19" s="2" t="s">
        <v>26</v>
      </c>
      <c r="B19" s="2" t="s">
        <v>27</v>
      </c>
      <c r="C19" s="3">
        <v>100038</v>
      </c>
      <c r="D19" s="4" t="s">
        <v>342</v>
      </c>
      <c r="E19" s="9"/>
      <c r="F19" s="13">
        <v>20.49</v>
      </c>
    </row>
    <row r="20" spans="1:6" x14ac:dyDescent="0.25">
      <c r="A20" s="2" t="s">
        <v>26</v>
      </c>
      <c r="B20" s="2" t="s">
        <v>27</v>
      </c>
      <c r="C20" s="3">
        <v>100038</v>
      </c>
      <c r="D20" s="4" t="s">
        <v>343</v>
      </c>
      <c r="E20" s="9"/>
      <c r="F20" s="13">
        <v>21.99</v>
      </c>
    </row>
    <row r="21" spans="1:6" x14ac:dyDescent="0.25">
      <c r="A21" s="2" t="s">
        <v>26</v>
      </c>
      <c r="B21" s="2" t="s">
        <v>27</v>
      </c>
      <c r="C21" s="3">
        <v>325990</v>
      </c>
      <c r="D21" s="4" t="s">
        <v>28</v>
      </c>
      <c r="E21" s="9"/>
      <c r="F21" s="13">
        <v>17.989999999999998</v>
      </c>
    </row>
    <row r="22" spans="1:6" x14ac:dyDescent="0.25">
      <c r="A22" s="2" t="s">
        <v>26</v>
      </c>
      <c r="B22" s="2" t="s">
        <v>27</v>
      </c>
      <c r="C22" s="3">
        <v>335057</v>
      </c>
      <c r="D22" s="4" t="s">
        <v>29</v>
      </c>
      <c r="E22" s="9"/>
      <c r="F22" s="13">
        <v>14.99</v>
      </c>
    </row>
    <row r="23" spans="1:6" x14ac:dyDescent="0.25">
      <c r="A23" s="2" t="s">
        <v>26</v>
      </c>
      <c r="B23" s="2" t="s">
        <v>27</v>
      </c>
      <c r="C23" s="3">
        <v>225003</v>
      </c>
      <c r="D23" s="4" t="s">
        <v>30</v>
      </c>
      <c r="E23" s="9"/>
      <c r="F23" s="13">
        <v>20.99</v>
      </c>
    </row>
    <row r="24" spans="1:6" x14ac:dyDescent="0.25">
      <c r="A24" s="2" t="s">
        <v>26</v>
      </c>
      <c r="B24" s="2" t="s">
        <v>27</v>
      </c>
      <c r="C24" s="3">
        <v>100020</v>
      </c>
      <c r="D24" s="4" t="s">
        <v>31</v>
      </c>
      <c r="E24" s="9"/>
      <c r="F24" s="13">
        <v>19.989999999999998</v>
      </c>
    </row>
    <row r="25" spans="1:6" x14ac:dyDescent="0.25">
      <c r="A25" s="2" t="s">
        <v>26</v>
      </c>
      <c r="B25" s="2" t="s">
        <v>27</v>
      </c>
      <c r="C25" s="3">
        <v>100031</v>
      </c>
      <c r="D25" s="4" t="s">
        <v>32</v>
      </c>
      <c r="E25" s="9"/>
      <c r="F25" s="13">
        <v>22.99</v>
      </c>
    </row>
    <row r="26" spans="1:6" x14ac:dyDescent="0.25">
      <c r="A26" s="2" t="s">
        <v>26</v>
      </c>
      <c r="B26" s="2" t="s">
        <v>33</v>
      </c>
      <c r="C26" s="3">
        <v>117889</v>
      </c>
      <c r="D26" s="4" t="s">
        <v>34</v>
      </c>
      <c r="E26" s="9"/>
      <c r="F26" s="13">
        <v>6.99</v>
      </c>
    </row>
    <row r="27" spans="1:6" x14ac:dyDescent="0.25">
      <c r="A27" s="2" t="s">
        <v>26</v>
      </c>
      <c r="B27" s="2" t="s">
        <v>33</v>
      </c>
      <c r="C27" s="3">
        <v>298239</v>
      </c>
      <c r="D27" s="4" t="s">
        <v>35</v>
      </c>
      <c r="E27" s="9"/>
      <c r="F27" s="13">
        <v>6.99</v>
      </c>
    </row>
    <row r="28" spans="1:6" x14ac:dyDescent="0.25">
      <c r="A28" s="2" t="s">
        <v>26</v>
      </c>
      <c r="B28" s="2" t="s">
        <v>36</v>
      </c>
      <c r="C28" s="3">
        <v>200178</v>
      </c>
      <c r="D28" s="4" t="s">
        <v>37</v>
      </c>
      <c r="E28" s="9"/>
      <c r="F28" s="13">
        <v>5.49</v>
      </c>
    </row>
    <row r="29" spans="1:6" x14ac:dyDescent="0.25">
      <c r="A29" s="2" t="s">
        <v>26</v>
      </c>
      <c r="B29" s="2" t="s">
        <v>36</v>
      </c>
      <c r="C29" s="3">
        <v>279573</v>
      </c>
      <c r="D29" s="4" t="s">
        <v>38</v>
      </c>
      <c r="E29" s="9"/>
      <c r="F29" s="13">
        <v>5.99</v>
      </c>
    </row>
    <row r="30" spans="1:6" x14ac:dyDescent="0.25">
      <c r="A30" s="2" t="s">
        <v>26</v>
      </c>
      <c r="B30" s="2" t="s">
        <v>36</v>
      </c>
      <c r="C30" s="3">
        <v>327443</v>
      </c>
      <c r="D30" s="4" t="s">
        <v>39</v>
      </c>
      <c r="E30" s="9"/>
      <c r="F30" s="13">
        <v>4.99</v>
      </c>
    </row>
    <row r="31" spans="1:6" x14ac:dyDescent="0.25">
      <c r="A31" s="2" t="s">
        <v>26</v>
      </c>
      <c r="B31" s="2" t="s">
        <v>36</v>
      </c>
      <c r="C31" s="3">
        <v>140665</v>
      </c>
      <c r="D31" s="4" t="s">
        <v>40</v>
      </c>
      <c r="E31" s="9"/>
      <c r="F31" s="13">
        <v>6.99</v>
      </c>
    </row>
    <row r="32" spans="1:6" x14ac:dyDescent="0.25">
      <c r="A32" s="2" t="s">
        <v>26</v>
      </c>
      <c r="B32" s="2" t="s">
        <v>41</v>
      </c>
      <c r="C32" s="3">
        <v>106680</v>
      </c>
      <c r="D32" s="4" t="s">
        <v>42</v>
      </c>
      <c r="E32" s="9"/>
      <c r="F32" s="13">
        <v>7.99</v>
      </c>
    </row>
    <row r="34" spans="1:6" x14ac:dyDescent="0.25">
      <c r="A34" s="2" t="s">
        <v>43</v>
      </c>
      <c r="B34" s="2" t="s">
        <v>44</v>
      </c>
      <c r="C34" s="3">
        <v>311070</v>
      </c>
      <c r="D34" s="4" t="s">
        <v>45</v>
      </c>
      <c r="E34" s="9"/>
      <c r="F34" s="13">
        <v>22.99</v>
      </c>
    </row>
    <row r="35" spans="1:6" x14ac:dyDescent="0.25">
      <c r="A35" s="2" t="s">
        <v>43</v>
      </c>
      <c r="B35" s="2" t="s">
        <v>44</v>
      </c>
      <c r="C35" s="3">
        <v>318660</v>
      </c>
      <c r="D35" s="4" t="s">
        <v>46</v>
      </c>
      <c r="E35" s="9"/>
      <c r="F35" s="13">
        <v>24.99</v>
      </c>
    </row>
    <row r="37" spans="1:6" x14ac:dyDescent="0.25">
      <c r="A37" s="2" t="s">
        <v>47</v>
      </c>
      <c r="B37" s="2" t="s">
        <v>48</v>
      </c>
      <c r="C37" s="3">
        <v>102294</v>
      </c>
      <c r="D37" s="4" t="s">
        <v>49</v>
      </c>
      <c r="E37" s="9"/>
      <c r="F37" s="13">
        <v>5.99</v>
      </c>
    </row>
    <row r="38" spans="1:6" x14ac:dyDescent="0.25">
      <c r="A38" s="2" t="s">
        <v>47</v>
      </c>
      <c r="B38" s="2" t="s">
        <v>48</v>
      </c>
      <c r="C38" s="3">
        <v>312887</v>
      </c>
      <c r="D38" s="4" t="s">
        <v>50</v>
      </c>
      <c r="E38" s="9"/>
      <c r="F38" s="13">
        <v>5.99</v>
      </c>
    </row>
    <row r="40" spans="1:6" x14ac:dyDescent="0.25">
      <c r="A40" s="2" t="s">
        <v>47</v>
      </c>
      <c r="B40" s="2" t="s">
        <v>51</v>
      </c>
      <c r="C40" s="3">
        <v>189135</v>
      </c>
      <c r="D40" s="4" t="s">
        <v>52</v>
      </c>
      <c r="E40" s="9"/>
      <c r="F40" s="13">
        <v>5.99</v>
      </c>
    </row>
    <row r="41" spans="1:6" x14ac:dyDescent="0.25">
      <c r="A41" s="2" t="s">
        <v>47</v>
      </c>
      <c r="B41" s="2" t="s">
        <v>53</v>
      </c>
      <c r="C41" s="3">
        <v>102416</v>
      </c>
      <c r="D41" s="4" t="s">
        <v>54</v>
      </c>
      <c r="E41" s="9"/>
      <c r="F41" s="13">
        <v>5.99</v>
      </c>
    </row>
    <row r="42" spans="1:6" x14ac:dyDescent="0.25">
      <c r="A42" s="2" t="s">
        <v>47</v>
      </c>
      <c r="B42" s="2" t="s">
        <v>53</v>
      </c>
      <c r="C42" s="3">
        <v>302449</v>
      </c>
      <c r="D42" s="4" t="s">
        <v>55</v>
      </c>
      <c r="E42" s="9"/>
      <c r="F42" s="13">
        <v>5.99</v>
      </c>
    </row>
    <row r="43" spans="1:6" x14ac:dyDescent="0.25">
      <c r="A43" s="2" t="s">
        <v>47</v>
      </c>
      <c r="B43" s="2" t="s">
        <v>53</v>
      </c>
      <c r="C43" s="3">
        <v>311244</v>
      </c>
      <c r="D43" s="4" t="s">
        <v>56</v>
      </c>
      <c r="E43" s="9"/>
      <c r="F43" s="13">
        <v>4.99</v>
      </c>
    </row>
    <row r="44" spans="1:6" x14ac:dyDescent="0.25">
      <c r="A44" s="2" t="s">
        <v>47</v>
      </c>
      <c r="B44" s="2" t="s">
        <v>57</v>
      </c>
      <c r="C44" s="3">
        <v>113856</v>
      </c>
      <c r="D44" s="4" t="s">
        <v>58</v>
      </c>
      <c r="E44" s="9"/>
      <c r="F44" s="13">
        <v>4.99</v>
      </c>
    </row>
    <row r="45" spans="1:6" x14ac:dyDescent="0.25">
      <c r="A45" s="2" t="s">
        <v>47</v>
      </c>
      <c r="B45" s="2" t="s">
        <v>57</v>
      </c>
      <c r="C45" s="3">
        <v>199260</v>
      </c>
      <c r="D45" s="4" t="s">
        <v>59</v>
      </c>
      <c r="E45" s="9"/>
      <c r="F45" s="13">
        <v>49.99</v>
      </c>
    </row>
    <row r="46" spans="1:6" x14ac:dyDescent="0.25">
      <c r="A46" s="2" t="s">
        <v>47</v>
      </c>
      <c r="B46" s="2" t="s">
        <v>57</v>
      </c>
      <c r="C46" s="3">
        <v>239161</v>
      </c>
      <c r="D46" s="4" t="s">
        <v>60</v>
      </c>
      <c r="E46" s="9"/>
      <c r="F46" s="13">
        <v>45.99</v>
      </c>
    </row>
    <row r="47" spans="1:6" x14ac:dyDescent="0.25">
      <c r="A47" s="2" t="s">
        <v>47</v>
      </c>
      <c r="B47" s="2" t="s">
        <v>61</v>
      </c>
      <c r="C47" s="3">
        <v>134383</v>
      </c>
      <c r="D47" s="4" t="s">
        <v>62</v>
      </c>
      <c r="E47" s="9" t="s">
        <v>63</v>
      </c>
      <c r="F47" s="13">
        <v>29.99</v>
      </c>
    </row>
    <row r="48" spans="1:6" x14ac:dyDescent="0.25">
      <c r="A48" s="2" t="s">
        <v>47</v>
      </c>
      <c r="B48" s="2" t="s">
        <v>61</v>
      </c>
      <c r="C48" s="3">
        <v>214439</v>
      </c>
      <c r="D48" s="4" t="s">
        <v>64</v>
      </c>
      <c r="E48" s="9" t="s">
        <v>65</v>
      </c>
      <c r="F48" s="13">
        <v>45.99</v>
      </c>
    </row>
    <row r="50" spans="1:6" x14ac:dyDescent="0.25">
      <c r="A50" s="2" t="s">
        <v>66</v>
      </c>
      <c r="B50" s="2" t="s">
        <v>67</v>
      </c>
      <c r="C50" s="3">
        <v>108686</v>
      </c>
      <c r="D50" s="4" t="s">
        <v>68</v>
      </c>
      <c r="E50" s="9"/>
      <c r="F50" s="13">
        <v>6.99</v>
      </c>
    </row>
    <row r="51" spans="1:6" x14ac:dyDescent="0.25">
      <c r="A51" s="2" t="s">
        <v>66</v>
      </c>
      <c r="B51" s="2" t="s">
        <v>67</v>
      </c>
      <c r="C51" s="3">
        <v>104406</v>
      </c>
      <c r="D51" s="4" t="s">
        <v>69</v>
      </c>
      <c r="E51" s="9"/>
      <c r="F51" s="13">
        <v>9.99</v>
      </c>
    </row>
    <row r="52" spans="1:6" x14ac:dyDescent="0.25">
      <c r="A52" s="2" t="s">
        <v>66</v>
      </c>
      <c r="B52" s="2" t="s">
        <v>67</v>
      </c>
      <c r="C52" s="3">
        <v>104404</v>
      </c>
      <c r="D52" s="4" t="s">
        <v>70</v>
      </c>
      <c r="E52" s="9" t="s">
        <v>71</v>
      </c>
      <c r="F52" s="13">
        <v>9.99</v>
      </c>
    </row>
    <row r="53" spans="1:6" x14ac:dyDescent="0.25">
      <c r="A53" s="2" t="s">
        <v>66</v>
      </c>
      <c r="B53" s="2" t="s">
        <v>67</v>
      </c>
      <c r="C53" s="3">
        <v>104410</v>
      </c>
      <c r="D53" s="4" t="s">
        <v>72</v>
      </c>
      <c r="E53" s="9"/>
      <c r="F53" s="13">
        <v>8.89</v>
      </c>
    </row>
    <row r="54" spans="1:6" x14ac:dyDescent="0.25">
      <c r="A54" s="2" t="s">
        <v>66</v>
      </c>
      <c r="B54" s="2" t="s">
        <v>73</v>
      </c>
      <c r="C54" s="3">
        <v>117100</v>
      </c>
      <c r="D54" s="4" t="s">
        <v>74</v>
      </c>
      <c r="E54" s="9"/>
      <c r="F54" s="13">
        <v>12.99</v>
      </c>
    </row>
    <row r="55" spans="1:6" x14ac:dyDescent="0.25">
      <c r="A55" s="2" t="s">
        <v>66</v>
      </c>
      <c r="B55" s="2" t="s">
        <v>75</v>
      </c>
      <c r="C55" s="3">
        <v>286325</v>
      </c>
      <c r="D55" s="4" t="s">
        <v>76</v>
      </c>
      <c r="E55" s="9"/>
      <c r="F55" s="13">
        <v>21.99</v>
      </c>
    </row>
    <row r="56" spans="1:6" x14ac:dyDescent="0.25">
      <c r="A56" s="2" t="s">
        <v>66</v>
      </c>
      <c r="B56" s="2" t="s">
        <v>75</v>
      </c>
      <c r="C56" s="3">
        <v>264452</v>
      </c>
      <c r="D56" s="4" t="s">
        <v>77</v>
      </c>
      <c r="E56" s="9"/>
      <c r="F56" s="13">
        <v>5.89</v>
      </c>
    </row>
    <row r="57" spans="1:6" x14ac:dyDescent="0.25">
      <c r="A57" s="2" t="s">
        <v>66</v>
      </c>
      <c r="B57" s="2" t="s">
        <v>78</v>
      </c>
      <c r="C57" s="3">
        <v>247800</v>
      </c>
      <c r="D57" s="4" t="s">
        <v>79</v>
      </c>
      <c r="E57" s="9"/>
      <c r="F57" s="13">
        <v>5.99</v>
      </c>
    </row>
    <row r="58" spans="1:6" x14ac:dyDescent="0.25">
      <c r="A58" s="2" t="s">
        <v>66</v>
      </c>
      <c r="B58" s="2" t="s">
        <v>78</v>
      </c>
      <c r="C58" s="3">
        <v>247799</v>
      </c>
      <c r="D58" s="4" t="s">
        <v>80</v>
      </c>
      <c r="E58" s="9"/>
      <c r="F58" s="13">
        <v>5.99</v>
      </c>
    </row>
    <row r="59" spans="1:6" x14ac:dyDescent="0.25">
      <c r="A59" s="2" t="s">
        <v>66</v>
      </c>
      <c r="B59" s="2" t="s">
        <v>78</v>
      </c>
      <c r="C59" s="3">
        <v>242930</v>
      </c>
      <c r="D59" s="4" t="s">
        <v>81</v>
      </c>
      <c r="E59" s="9"/>
      <c r="F59" s="13">
        <v>6.99</v>
      </c>
    </row>
    <row r="60" spans="1:6" x14ac:dyDescent="0.25">
      <c r="A60" s="5" t="s">
        <v>66</v>
      </c>
      <c r="B60" s="5" t="s">
        <v>82</v>
      </c>
      <c r="C60" s="6">
        <v>239446</v>
      </c>
      <c r="D60" s="7" t="s">
        <v>83</v>
      </c>
      <c r="E60" s="10"/>
      <c r="F60" s="14">
        <f>12*3.05</f>
        <v>36.599999999999994</v>
      </c>
    </row>
    <row r="61" spans="1:6" x14ac:dyDescent="0.25">
      <c r="A61" s="5" t="s">
        <v>66</v>
      </c>
      <c r="B61" s="5" t="s">
        <v>82</v>
      </c>
      <c r="C61" s="6">
        <v>168712</v>
      </c>
      <c r="D61" s="7" t="s">
        <v>84</v>
      </c>
      <c r="E61" s="10"/>
      <c r="F61" s="14">
        <f>15*3.25</f>
        <v>48.75</v>
      </c>
    </row>
    <row r="62" spans="1:6" x14ac:dyDescent="0.25">
      <c r="A62" s="5" t="s">
        <v>66</v>
      </c>
      <c r="B62" s="5" t="s">
        <v>82</v>
      </c>
      <c r="C62" s="6">
        <v>170451</v>
      </c>
      <c r="D62" s="7" t="s">
        <v>85</v>
      </c>
      <c r="E62" s="10"/>
      <c r="F62" s="14">
        <f>15*3.09</f>
        <v>46.349999999999994</v>
      </c>
    </row>
    <row r="63" spans="1:6" x14ac:dyDescent="0.25">
      <c r="A63" s="5" t="s">
        <v>66</v>
      </c>
      <c r="B63" s="5" t="s">
        <v>82</v>
      </c>
      <c r="C63" s="6">
        <v>108423</v>
      </c>
      <c r="D63" s="7" t="s">
        <v>86</v>
      </c>
      <c r="E63" s="10"/>
      <c r="F63" s="14">
        <f>6*6.99</f>
        <v>41.94</v>
      </c>
    </row>
    <row r="64" spans="1:6" x14ac:dyDescent="0.25">
      <c r="A64" s="5" t="s">
        <v>66</v>
      </c>
      <c r="B64" s="5" t="s">
        <v>82</v>
      </c>
      <c r="C64" s="6">
        <v>265727</v>
      </c>
      <c r="D64" s="7" t="s">
        <v>87</v>
      </c>
      <c r="E64" s="10"/>
      <c r="F64" s="14">
        <f>8*4.49</f>
        <v>35.92</v>
      </c>
    </row>
    <row r="65" spans="1:6" x14ac:dyDescent="0.25">
      <c r="A65" s="5" t="s">
        <v>66</v>
      </c>
      <c r="B65" s="5" t="s">
        <v>82</v>
      </c>
      <c r="C65" s="6">
        <v>324556</v>
      </c>
      <c r="D65" s="7" t="s">
        <v>88</v>
      </c>
      <c r="E65" s="10"/>
      <c r="F65" s="14">
        <f>15*2.99</f>
        <v>44.85</v>
      </c>
    </row>
    <row r="66" spans="1:6" x14ac:dyDescent="0.25">
      <c r="A66" s="2" t="s">
        <v>66</v>
      </c>
      <c r="B66" s="2" t="s">
        <v>89</v>
      </c>
      <c r="C66" s="3">
        <v>236674</v>
      </c>
      <c r="D66" s="4" t="s">
        <v>90</v>
      </c>
      <c r="E66" s="9" t="s">
        <v>91</v>
      </c>
      <c r="F66" s="13">
        <v>40.99</v>
      </c>
    </row>
    <row r="67" spans="1:6" x14ac:dyDescent="0.25">
      <c r="A67" s="2" t="s">
        <v>66</v>
      </c>
      <c r="B67" s="2" t="s">
        <v>89</v>
      </c>
      <c r="C67" s="3">
        <v>293188</v>
      </c>
      <c r="D67" s="4" t="s">
        <v>92</v>
      </c>
      <c r="E67" s="9"/>
      <c r="F67" s="13">
        <v>6.99</v>
      </c>
    </row>
    <row r="68" spans="1:6" x14ac:dyDescent="0.25">
      <c r="A68" s="2" t="s">
        <v>66</v>
      </c>
      <c r="B68" s="2" t="s">
        <v>89</v>
      </c>
      <c r="C68" s="3">
        <v>102085</v>
      </c>
      <c r="D68" s="4" t="s">
        <v>93</v>
      </c>
      <c r="E68" s="9"/>
      <c r="F68" s="13">
        <v>12.59</v>
      </c>
    </row>
    <row r="69" spans="1:6" x14ac:dyDescent="0.25">
      <c r="A69" s="2" t="s">
        <v>66</v>
      </c>
      <c r="B69" s="2" t="s">
        <v>89</v>
      </c>
      <c r="C69" s="3">
        <v>215568</v>
      </c>
      <c r="D69" s="4" t="s">
        <v>94</v>
      </c>
      <c r="E69" s="9"/>
      <c r="F69" s="13">
        <v>35.99</v>
      </c>
    </row>
    <row r="70" spans="1:6" x14ac:dyDescent="0.25">
      <c r="A70" s="2" t="s">
        <v>66</v>
      </c>
      <c r="B70" s="2" t="s">
        <v>89</v>
      </c>
      <c r="C70" s="3">
        <v>301843</v>
      </c>
      <c r="D70" s="4" t="s">
        <v>95</v>
      </c>
      <c r="E70" s="9"/>
      <c r="F70" s="13">
        <v>65.989999999999995</v>
      </c>
    </row>
    <row r="71" spans="1:6" x14ac:dyDescent="0.25">
      <c r="A71" s="2" t="s">
        <v>66</v>
      </c>
      <c r="B71" s="2" t="s">
        <v>89</v>
      </c>
      <c r="C71" s="3">
        <v>206930</v>
      </c>
      <c r="D71" s="4" t="s">
        <v>96</v>
      </c>
      <c r="E71" s="9"/>
      <c r="F71" s="13">
        <v>142.99</v>
      </c>
    </row>
    <row r="72" spans="1:6" x14ac:dyDescent="0.25">
      <c r="A72" s="2" t="s">
        <v>66</v>
      </c>
      <c r="B72" s="2" t="s">
        <v>89</v>
      </c>
      <c r="C72" s="3">
        <v>123548</v>
      </c>
      <c r="D72" s="4" t="s">
        <v>97</v>
      </c>
      <c r="E72" s="9"/>
      <c r="F72" s="13">
        <v>125.99</v>
      </c>
    </row>
    <row r="73" spans="1:6" x14ac:dyDescent="0.25">
      <c r="A73" s="2" t="s">
        <v>66</v>
      </c>
      <c r="B73" s="2" t="s">
        <v>89</v>
      </c>
      <c r="C73" s="3">
        <v>102077</v>
      </c>
      <c r="D73" s="4" t="s">
        <v>98</v>
      </c>
      <c r="E73" s="9"/>
      <c r="F73" s="13">
        <v>179.99</v>
      </c>
    </row>
    <row r="74" spans="1:6" x14ac:dyDescent="0.25">
      <c r="A74" s="2" t="s">
        <v>66</v>
      </c>
      <c r="B74" s="2" t="s">
        <v>89</v>
      </c>
      <c r="C74" s="3">
        <v>109729</v>
      </c>
      <c r="D74" s="4" t="s">
        <v>99</v>
      </c>
      <c r="E74" s="9"/>
      <c r="F74" s="13">
        <v>95.99</v>
      </c>
    </row>
    <row r="75" spans="1:6" x14ac:dyDescent="0.25">
      <c r="A75" s="2" t="s">
        <v>66</v>
      </c>
      <c r="B75" s="2" t="s">
        <v>100</v>
      </c>
      <c r="C75" s="3">
        <v>295198</v>
      </c>
      <c r="D75" s="4" t="s">
        <v>101</v>
      </c>
      <c r="E75" s="9"/>
      <c r="F75" s="13">
        <v>10.99</v>
      </c>
    </row>
    <row r="76" spans="1:6" x14ac:dyDescent="0.25">
      <c r="A76" s="2" t="s">
        <v>66</v>
      </c>
      <c r="B76" s="2" t="s">
        <v>100</v>
      </c>
      <c r="C76" s="3">
        <v>102036</v>
      </c>
      <c r="D76" s="4" t="s">
        <v>102</v>
      </c>
      <c r="E76" s="9"/>
      <c r="F76" s="13">
        <v>23.59</v>
      </c>
    </row>
    <row r="78" spans="1:6" x14ac:dyDescent="0.25">
      <c r="A78" s="2" t="s">
        <v>103</v>
      </c>
      <c r="B78" s="2" t="s">
        <v>104</v>
      </c>
      <c r="C78" s="3">
        <v>111807</v>
      </c>
      <c r="D78" s="4" t="s">
        <v>105</v>
      </c>
      <c r="E78" s="9"/>
      <c r="F78" s="13">
        <v>21.99</v>
      </c>
    </row>
    <row r="80" spans="1:6" x14ac:dyDescent="0.25">
      <c r="A80" s="2" t="s">
        <v>106</v>
      </c>
      <c r="B80" s="2" t="s">
        <v>107</v>
      </c>
      <c r="C80" s="3">
        <v>271863</v>
      </c>
      <c r="D80" s="4" t="s">
        <v>108</v>
      </c>
      <c r="E80" s="9"/>
      <c r="F80" s="13">
        <v>5.49</v>
      </c>
    </row>
    <row r="81" spans="1:6" x14ac:dyDescent="0.25">
      <c r="A81" s="2" t="s">
        <v>106</v>
      </c>
      <c r="B81" s="2" t="s">
        <v>107</v>
      </c>
      <c r="C81" s="3">
        <v>308384</v>
      </c>
      <c r="D81" s="4" t="s">
        <v>109</v>
      </c>
      <c r="E81" s="9"/>
      <c r="F81" s="13">
        <v>5.49</v>
      </c>
    </row>
    <row r="83" spans="1:6" x14ac:dyDescent="0.25">
      <c r="A83" s="2" t="s">
        <v>110</v>
      </c>
      <c r="B83" s="2" t="s">
        <v>111</v>
      </c>
      <c r="C83" s="3">
        <v>100061</v>
      </c>
      <c r="D83" s="4" t="s">
        <v>112</v>
      </c>
      <c r="E83" s="9"/>
      <c r="F83" s="13">
        <v>4.99</v>
      </c>
    </row>
    <row r="84" spans="1:6" x14ac:dyDescent="0.25">
      <c r="A84" s="2" t="s">
        <v>110</v>
      </c>
      <c r="B84" s="2" t="s">
        <v>113</v>
      </c>
      <c r="C84" s="3">
        <v>112978</v>
      </c>
      <c r="D84" s="4" t="s">
        <v>114</v>
      </c>
      <c r="E84" s="9"/>
      <c r="F84" s="13">
        <v>2.89</v>
      </c>
    </row>
    <row r="85" spans="1:6" x14ac:dyDescent="0.25">
      <c r="A85" s="2" t="s">
        <v>110</v>
      </c>
      <c r="B85" s="2" t="s">
        <v>113</v>
      </c>
      <c r="C85" s="3">
        <v>128930</v>
      </c>
      <c r="D85" s="4" t="s">
        <v>115</v>
      </c>
      <c r="E85" s="9"/>
      <c r="F85" s="13">
        <v>6.39</v>
      </c>
    </row>
    <row r="86" spans="1:6" x14ac:dyDescent="0.25">
      <c r="A86" s="2" t="s">
        <v>110</v>
      </c>
      <c r="B86" s="2" t="s">
        <v>113</v>
      </c>
      <c r="C86" s="3">
        <v>107361</v>
      </c>
      <c r="D86" s="4" t="s">
        <v>116</v>
      </c>
      <c r="E86" s="9"/>
      <c r="F86" s="13">
        <v>5.89</v>
      </c>
    </row>
    <row r="87" spans="1:6" x14ac:dyDescent="0.25">
      <c r="A87" s="2" t="s">
        <v>110</v>
      </c>
      <c r="B87" s="2" t="s">
        <v>113</v>
      </c>
      <c r="C87" s="3">
        <v>100024</v>
      </c>
      <c r="D87" s="4" t="s">
        <v>117</v>
      </c>
      <c r="E87" s="9"/>
      <c r="F87" s="13">
        <v>5.69</v>
      </c>
    </row>
    <row r="88" spans="1:6" x14ac:dyDescent="0.25">
      <c r="A88" s="2" t="s">
        <v>110</v>
      </c>
      <c r="B88" s="2" t="s">
        <v>113</v>
      </c>
      <c r="C88" s="3">
        <v>100027</v>
      </c>
      <c r="D88" s="4" t="s">
        <v>118</v>
      </c>
      <c r="E88" s="9"/>
      <c r="F88" s="13">
        <v>7.99</v>
      </c>
    </row>
    <row r="89" spans="1:6" x14ac:dyDescent="0.25">
      <c r="A89" s="2" t="s">
        <v>110</v>
      </c>
      <c r="B89" s="2" t="s">
        <v>113</v>
      </c>
      <c r="C89" s="3">
        <v>294705</v>
      </c>
      <c r="D89" s="4" t="s">
        <v>119</v>
      </c>
      <c r="E89" s="9"/>
      <c r="F89" s="13">
        <v>2.39</v>
      </c>
    </row>
    <row r="90" spans="1:6" x14ac:dyDescent="0.25">
      <c r="A90" s="2" t="s">
        <v>110</v>
      </c>
      <c r="B90" s="2" t="s">
        <v>113</v>
      </c>
      <c r="C90" s="3">
        <v>255841</v>
      </c>
      <c r="D90" s="4" t="s">
        <v>120</v>
      </c>
      <c r="E90" s="9"/>
      <c r="F90" s="13">
        <v>2.89</v>
      </c>
    </row>
    <row r="91" spans="1:6" x14ac:dyDescent="0.25">
      <c r="A91" s="2" t="s">
        <v>110</v>
      </c>
      <c r="B91" s="2" t="s">
        <v>113</v>
      </c>
      <c r="C91" s="3">
        <v>100120</v>
      </c>
      <c r="D91" s="4" t="s">
        <v>121</v>
      </c>
      <c r="E91" s="9"/>
      <c r="F91" s="13">
        <v>2.4900000000000002</v>
      </c>
    </row>
    <row r="92" spans="1:6" x14ac:dyDescent="0.25">
      <c r="A92" s="2" t="s">
        <v>110</v>
      </c>
      <c r="B92" s="2" t="s">
        <v>113</v>
      </c>
      <c r="C92" s="3">
        <v>149122</v>
      </c>
      <c r="D92" s="4" t="s">
        <v>122</v>
      </c>
      <c r="E92" s="9"/>
      <c r="F92" s="13">
        <v>6.99</v>
      </c>
    </row>
    <row r="93" spans="1:6" x14ac:dyDescent="0.25">
      <c r="A93" s="2" t="s">
        <v>110</v>
      </c>
      <c r="B93" s="2" t="s">
        <v>113</v>
      </c>
      <c r="C93" s="3">
        <v>145874</v>
      </c>
      <c r="D93" s="4" t="s">
        <v>123</v>
      </c>
      <c r="E93" s="9"/>
      <c r="F93" s="13">
        <v>10.49</v>
      </c>
    </row>
    <row r="94" spans="1:6" x14ac:dyDescent="0.25">
      <c r="A94" s="2" t="s">
        <v>110</v>
      </c>
      <c r="B94" s="2" t="s">
        <v>113</v>
      </c>
      <c r="C94" s="3">
        <v>128920</v>
      </c>
      <c r="D94" s="4" t="s">
        <v>124</v>
      </c>
      <c r="E94" s="9"/>
      <c r="F94" s="13">
        <v>6.99</v>
      </c>
    </row>
    <row r="96" spans="1:6" x14ac:dyDescent="0.25">
      <c r="A96" s="2" t="s">
        <v>125</v>
      </c>
      <c r="B96" s="2" t="s">
        <v>44</v>
      </c>
      <c r="C96" s="3">
        <v>324330</v>
      </c>
      <c r="D96" s="4" t="s">
        <v>126</v>
      </c>
      <c r="E96" s="9"/>
      <c r="F96" s="13">
        <v>36</v>
      </c>
    </row>
    <row r="97" spans="1:6" x14ac:dyDescent="0.25">
      <c r="A97" s="2" t="s">
        <v>125</v>
      </c>
      <c r="B97" s="2" t="s">
        <v>44</v>
      </c>
      <c r="C97" s="3">
        <v>324328</v>
      </c>
      <c r="D97" s="4" t="s">
        <v>127</v>
      </c>
      <c r="E97" s="9"/>
      <c r="F97" s="13">
        <v>42.4</v>
      </c>
    </row>
    <row r="98" spans="1:6" x14ac:dyDescent="0.25">
      <c r="A98" s="2" t="s">
        <v>125</v>
      </c>
      <c r="B98" s="2" t="s">
        <v>44</v>
      </c>
      <c r="C98" s="3">
        <v>335127</v>
      </c>
      <c r="D98" s="4" t="s">
        <v>128</v>
      </c>
      <c r="E98" s="9"/>
      <c r="F98" s="13">
        <v>63.2</v>
      </c>
    </row>
    <row r="99" spans="1:6" x14ac:dyDescent="0.25">
      <c r="A99" s="2" t="s">
        <v>125</v>
      </c>
      <c r="B99" s="2" t="s">
        <v>44</v>
      </c>
      <c r="C99" s="3">
        <v>324334</v>
      </c>
      <c r="D99" s="4" t="s">
        <v>129</v>
      </c>
      <c r="E99" s="9"/>
      <c r="F99" s="13">
        <v>42.4</v>
      </c>
    </row>
    <row r="100" spans="1:6" x14ac:dyDescent="0.25">
      <c r="A100" s="2" t="s">
        <v>125</v>
      </c>
      <c r="B100" s="2" t="s">
        <v>44</v>
      </c>
      <c r="C100" s="3">
        <v>324327</v>
      </c>
      <c r="D100" s="4" t="s">
        <v>130</v>
      </c>
      <c r="E100" s="9"/>
      <c r="F100" s="13">
        <v>42.4</v>
      </c>
    </row>
    <row r="101" spans="1:6" x14ac:dyDescent="0.25">
      <c r="A101" s="2" t="s">
        <v>125</v>
      </c>
      <c r="B101" s="2" t="s">
        <v>44</v>
      </c>
      <c r="C101" s="3">
        <v>231569</v>
      </c>
      <c r="D101" s="4" t="s">
        <v>131</v>
      </c>
      <c r="E101" s="9" t="s">
        <v>132</v>
      </c>
      <c r="F101" s="13">
        <v>55.2</v>
      </c>
    </row>
    <row r="102" spans="1:6" x14ac:dyDescent="0.25">
      <c r="A102" s="2" t="s">
        <v>125</v>
      </c>
      <c r="B102" s="2" t="s">
        <v>44</v>
      </c>
      <c r="C102" s="3">
        <v>260718</v>
      </c>
      <c r="D102" s="4" t="s">
        <v>133</v>
      </c>
      <c r="E102" s="9"/>
      <c r="F102" s="13">
        <v>76.8</v>
      </c>
    </row>
    <row r="103" spans="1:6" x14ac:dyDescent="0.25">
      <c r="A103" s="2" t="s">
        <v>125</v>
      </c>
      <c r="B103" s="2" t="s">
        <v>44</v>
      </c>
      <c r="C103" s="3">
        <v>328788</v>
      </c>
      <c r="D103" s="4" t="s">
        <v>133</v>
      </c>
      <c r="E103" s="9"/>
      <c r="F103" s="13">
        <v>65.599999999999994</v>
      </c>
    </row>
    <row r="104" spans="1:6" x14ac:dyDescent="0.25">
      <c r="A104" s="2" t="s">
        <v>125</v>
      </c>
      <c r="B104" s="2" t="s">
        <v>44</v>
      </c>
      <c r="C104" s="3">
        <v>327330</v>
      </c>
      <c r="D104" s="4" t="s">
        <v>134</v>
      </c>
      <c r="E104" s="9"/>
      <c r="F104" s="13">
        <v>64</v>
      </c>
    </row>
    <row r="105" spans="1:6" x14ac:dyDescent="0.25">
      <c r="A105" s="2" t="s">
        <v>125</v>
      </c>
      <c r="B105" s="2" t="s">
        <v>44</v>
      </c>
      <c r="C105" s="3">
        <v>231570</v>
      </c>
      <c r="D105" s="4" t="s">
        <v>135</v>
      </c>
      <c r="E105" s="9"/>
      <c r="F105" s="13">
        <v>76</v>
      </c>
    </row>
    <row r="106" spans="1:6" x14ac:dyDescent="0.25">
      <c r="A106" s="2" t="s">
        <v>125</v>
      </c>
      <c r="B106" s="2" t="s">
        <v>44</v>
      </c>
      <c r="C106" s="3">
        <v>293779</v>
      </c>
      <c r="D106" s="4" t="s">
        <v>136</v>
      </c>
      <c r="E106" s="9"/>
      <c r="F106" s="13">
        <v>66.400000000000006</v>
      </c>
    </row>
    <row r="107" spans="1:6" ht="36" x14ac:dyDescent="0.25">
      <c r="A107" s="2" t="s">
        <v>125</v>
      </c>
      <c r="B107" s="2" t="s">
        <v>44</v>
      </c>
      <c r="C107" s="3">
        <v>324335</v>
      </c>
      <c r="D107" s="4" t="s">
        <v>137</v>
      </c>
      <c r="E107" s="9" t="s">
        <v>138</v>
      </c>
      <c r="F107" s="13">
        <v>45.6</v>
      </c>
    </row>
    <row r="108" spans="1:6" x14ac:dyDescent="0.25">
      <c r="A108" s="2" t="s">
        <v>125</v>
      </c>
      <c r="B108" s="2" t="s">
        <v>44</v>
      </c>
      <c r="C108" s="3">
        <v>324329</v>
      </c>
      <c r="D108" s="4" t="s">
        <v>139</v>
      </c>
      <c r="E108" s="9"/>
      <c r="F108" s="13">
        <v>42.4</v>
      </c>
    </row>
    <row r="109" spans="1:6" x14ac:dyDescent="0.25">
      <c r="A109" s="2" t="s">
        <v>125</v>
      </c>
      <c r="B109" s="2" t="s">
        <v>44</v>
      </c>
      <c r="C109" s="3">
        <v>259776</v>
      </c>
      <c r="D109" s="4" t="s">
        <v>140</v>
      </c>
      <c r="E109" s="9"/>
      <c r="F109" s="13">
        <v>84.8</v>
      </c>
    </row>
    <row r="110" spans="1:6" x14ac:dyDescent="0.25">
      <c r="A110" s="2" t="s">
        <v>125</v>
      </c>
      <c r="B110" s="2" t="s">
        <v>44</v>
      </c>
      <c r="C110" s="3">
        <v>324331</v>
      </c>
      <c r="D110" s="4" t="s">
        <v>141</v>
      </c>
      <c r="E110" s="9"/>
      <c r="F110" s="13">
        <v>36</v>
      </c>
    </row>
    <row r="112" spans="1:6" x14ac:dyDescent="0.25">
      <c r="A112" s="2" t="s">
        <v>142</v>
      </c>
      <c r="B112" s="2" t="s">
        <v>143</v>
      </c>
      <c r="C112" s="3">
        <v>105023</v>
      </c>
      <c r="D112" s="4" t="s">
        <v>144</v>
      </c>
      <c r="E112" s="9"/>
      <c r="F112" s="13">
        <v>5.59</v>
      </c>
    </row>
    <row r="113" spans="1:6" x14ac:dyDescent="0.25">
      <c r="A113" s="2" t="s">
        <v>142</v>
      </c>
      <c r="B113" s="2" t="s">
        <v>143</v>
      </c>
      <c r="C113" s="3">
        <v>104931</v>
      </c>
      <c r="D113" s="4" t="s">
        <v>145</v>
      </c>
      <c r="E113" s="9"/>
      <c r="F113" s="13">
        <v>4.09</v>
      </c>
    </row>
    <row r="114" spans="1:6" x14ac:dyDescent="0.25">
      <c r="A114" s="2" t="s">
        <v>142</v>
      </c>
      <c r="B114" s="2" t="s">
        <v>146</v>
      </c>
      <c r="C114" s="3">
        <v>105010</v>
      </c>
      <c r="D114" s="4" t="s">
        <v>147</v>
      </c>
      <c r="E114" s="9"/>
      <c r="F114" s="13">
        <v>4.49</v>
      </c>
    </row>
    <row r="115" spans="1:6" x14ac:dyDescent="0.25">
      <c r="A115" s="2" t="s">
        <v>142</v>
      </c>
      <c r="B115" s="2" t="s">
        <v>146</v>
      </c>
      <c r="C115" s="3">
        <v>105001</v>
      </c>
      <c r="D115" s="4" t="s">
        <v>148</v>
      </c>
      <c r="E115" s="9"/>
      <c r="F115" s="13">
        <v>3.79</v>
      </c>
    </row>
    <row r="116" spans="1:6" x14ac:dyDescent="0.25">
      <c r="A116" s="2" t="s">
        <v>142</v>
      </c>
      <c r="B116" s="2" t="s">
        <v>146</v>
      </c>
      <c r="C116" s="3">
        <v>104862</v>
      </c>
      <c r="D116" s="4" t="s">
        <v>149</v>
      </c>
      <c r="E116" s="9"/>
      <c r="F116" s="13">
        <v>3.49</v>
      </c>
    </row>
    <row r="117" spans="1:6" x14ac:dyDescent="0.25">
      <c r="A117" s="2" t="s">
        <v>142</v>
      </c>
      <c r="B117" s="2" t="s">
        <v>146</v>
      </c>
      <c r="C117" s="3">
        <v>104961</v>
      </c>
      <c r="D117" s="4" t="s">
        <v>150</v>
      </c>
      <c r="E117" s="9"/>
      <c r="F117" s="13">
        <v>4.99</v>
      </c>
    </row>
    <row r="118" spans="1:6" x14ac:dyDescent="0.25">
      <c r="A118" s="2" t="s">
        <v>142</v>
      </c>
      <c r="B118" s="2" t="s">
        <v>151</v>
      </c>
      <c r="C118" s="3">
        <v>104919</v>
      </c>
      <c r="D118" s="4" t="s">
        <v>152</v>
      </c>
      <c r="E118" s="9"/>
      <c r="F118" s="13">
        <v>1.99</v>
      </c>
    </row>
    <row r="119" spans="1:6" x14ac:dyDescent="0.25">
      <c r="A119" s="2" t="s">
        <v>142</v>
      </c>
      <c r="B119" s="2" t="s">
        <v>153</v>
      </c>
      <c r="C119" s="3">
        <v>104992</v>
      </c>
      <c r="D119" s="4" t="s">
        <v>154</v>
      </c>
      <c r="E119" s="9"/>
      <c r="F119" s="13">
        <v>2.89</v>
      </c>
    </row>
    <row r="121" spans="1:6" x14ac:dyDescent="0.25">
      <c r="A121" s="2" t="s">
        <v>155</v>
      </c>
      <c r="B121" s="2" t="s">
        <v>156</v>
      </c>
      <c r="C121" s="3">
        <v>100426</v>
      </c>
      <c r="D121" s="4" t="s">
        <v>157</v>
      </c>
      <c r="E121" s="9"/>
      <c r="F121" s="13">
        <v>3.69</v>
      </c>
    </row>
    <row r="122" spans="1:6" x14ac:dyDescent="0.25">
      <c r="A122" s="2" t="s">
        <v>155</v>
      </c>
      <c r="B122" s="2" t="s">
        <v>156</v>
      </c>
      <c r="C122" s="3">
        <v>100431</v>
      </c>
      <c r="D122" s="4" t="s">
        <v>158</v>
      </c>
      <c r="E122" s="9"/>
      <c r="F122" s="13">
        <v>7.19</v>
      </c>
    </row>
    <row r="123" spans="1:6" x14ac:dyDescent="0.25">
      <c r="A123" s="2" t="s">
        <v>155</v>
      </c>
      <c r="B123" s="2" t="s">
        <v>159</v>
      </c>
      <c r="C123" s="3">
        <v>133368</v>
      </c>
      <c r="D123" s="4" t="s">
        <v>160</v>
      </c>
      <c r="E123" s="9"/>
      <c r="F123" s="13">
        <v>16.989999999999998</v>
      </c>
    </row>
    <row r="124" spans="1:6" x14ac:dyDescent="0.25">
      <c r="A124" s="2" t="s">
        <v>155</v>
      </c>
      <c r="B124" s="2" t="s">
        <v>159</v>
      </c>
      <c r="C124" s="3">
        <v>107393</v>
      </c>
      <c r="D124" s="4" t="s">
        <v>161</v>
      </c>
      <c r="E124" s="9"/>
      <c r="F124" s="13">
        <v>11.49</v>
      </c>
    </row>
    <row r="125" spans="1:6" x14ac:dyDescent="0.25">
      <c r="A125" s="2" t="s">
        <v>155</v>
      </c>
      <c r="B125" s="2" t="s">
        <v>162</v>
      </c>
      <c r="C125" s="3">
        <v>100279</v>
      </c>
      <c r="D125" s="4" t="s">
        <v>163</v>
      </c>
      <c r="E125" s="9"/>
      <c r="F125" s="13">
        <v>10.99</v>
      </c>
    </row>
    <row r="126" spans="1:6" x14ac:dyDescent="0.25">
      <c r="A126" s="2" t="s">
        <v>155</v>
      </c>
      <c r="B126" s="2" t="s">
        <v>162</v>
      </c>
      <c r="C126" s="3">
        <v>142863</v>
      </c>
      <c r="D126" s="4" t="s">
        <v>164</v>
      </c>
      <c r="E126" s="9"/>
      <c r="F126" s="13">
        <v>12.69</v>
      </c>
    </row>
    <row r="127" spans="1:6" x14ac:dyDescent="0.25">
      <c r="A127" s="2" t="s">
        <v>155</v>
      </c>
      <c r="B127" s="2" t="s">
        <v>165</v>
      </c>
      <c r="C127" s="3">
        <v>207586</v>
      </c>
      <c r="D127" s="4" t="s">
        <v>166</v>
      </c>
      <c r="E127" s="9"/>
      <c r="F127" s="13">
        <v>1.69</v>
      </c>
    </row>
    <row r="128" spans="1:6" x14ac:dyDescent="0.25">
      <c r="A128" s="2" t="s">
        <v>155</v>
      </c>
      <c r="B128" s="2" t="s">
        <v>165</v>
      </c>
      <c r="C128" s="3">
        <v>100391</v>
      </c>
      <c r="D128" s="4" t="s">
        <v>167</v>
      </c>
      <c r="E128" s="9"/>
      <c r="F128" s="13">
        <v>2.69</v>
      </c>
    </row>
    <row r="129" spans="1:6" x14ac:dyDescent="0.25">
      <c r="A129" s="2" t="s">
        <v>155</v>
      </c>
      <c r="B129" s="2" t="s">
        <v>168</v>
      </c>
      <c r="C129" s="3">
        <v>100511</v>
      </c>
      <c r="D129" s="4" t="s">
        <v>169</v>
      </c>
      <c r="E129" s="9"/>
      <c r="F129" s="13">
        <v>3.89</v>
      </c>
    </row>
    <row r="130" spans="1:6" x14ac:dyDescent="0.25">
      <c r="A130" s="2" t="s">
        <v>155</v>
      </c>
      <c r="B130" s="2" t="s">
        <v>170</v>
      </c>
      <c r="C130" s="3">
        <v>156422</v>
      </c>
      <c r="D130" s="4" t="s">
        <v>171</v>
      </c>
      <c r="E130" s="9"/>
      <c r="F130" s="13">
        <v>5.99</v>
      </c>
    </row>
    <row r="131" spans="1:6" x14ac:dyDescent="0.25">
      <c r="A131" s="2" t="s">
        <v>155</v>
      </c>
      <c r="B131" s="2" t="s">
        <v>170</v>
      </c>
      <c r="C131" s="3">
        <v>290791</v>
      </c>
      <c r="D131" s="4" t="s">
        <v>172</v>
      </c>
      <c r="E131" s="9"/>
      <c r="F131" s="13">
        <v>12.99</v>
      </c>
    </row>
    <row r="132" spans="1:6" x14ac:dyDescent="0.25">
      <c r="A132" s="2" t="s">
        <v>155</v>
      </c>
      <c r="B132" s="2" t="s">
        <v>173</v>
      </c>
      <c r="C132" s="3">
        <v>326954</v>
      </c>
      <c r="D132" s="4" t="s">
        <v>174</v>
      </c>
      <c r="E132" s="9"/>
      <c r="F132" s="13">
        <v>8.99</v>
      </c>
    </row>
    <row r="133" spans="1:6" x14ac:dyDescent="0.25">
      <c r="A133" s="2" t="s">
        <v>155</v>
      </c>
      <c r="B133" s="2" t="s">
        <v>173</v>
      </c>
      <c r="C133" s="3">
        <v>257710</v>
      </c>
      <c r="D133" s="4" t="s">
        <v>175</v>
      </c>
      <c r="E133" s="9"/>
      <c r="F133" s="13">
        <v>11.99</v>
      </c>
    </row>
    <row r="134" spans="1:6" x14ac:dyDescent="0.25">
      <c r="A134" s="2" t="s">
        <v>155</v>
      </c>
      <c r="B134" s="2" t="s">
        <v>173</v>
      </c>
      <c r="C134" s="3">
        <v>261980</v>
      </c>
      <c r="D134" s="4" t="s">
        <v>176</v>
      </c>
      <c r="E134" s="9"/>
      <c r="F134" s="13">
        <v>19.989999999999998</v>
      </c>
    </row>
    <row r="135" spans="1:6" x14ac:dyDescent="0.25">
      <c r="A135" s="2" t="s">
        <v>155</v>
      </c>
      <c r="B135" s="2" t="s">
        <v>173</v>
      </c>
      <c r="C135" s="3">
        <v>263649</v>
      </c>
      <c r="D135" s="4" t="s">
        <v>177</v>
      </c>
      <c r="E135" s="9"/>
      <c r="F135" s="13">
        <v>17.989999999999998</v>
      </c>
    </row>
    <row r="136" spans="1:6" x14ac:dyDescent="0.25">
      <c r="A136" s="2" t="s">
        <v>155</v>
      </c>
      <c r="B136" s="2" t="s">
        <v>173</v>
      </c>
      <c r="C136" s="3">
        <v>228234</v>
      </c>
      <c r="D136" s="4" t="s">
        <v>178</v>
      </c>
      <c r="E136" s="9"/>
      <c r="F136" s="13">
        <v>13.99</v>
      </c>
    </row>
    <row r="137" spans="1:6" x14ac:dyDescent="0.25">
      <c r="A137" s="2" t="s">
        <v>155</v>
      </c>
      <c r="B137" s="2" t="s">
        <v>173</v>
      </c>
      <c r="C137" s="3">
        <v>286199</v>
      </c>
      <c r="D137" s="4" t="s">
        <v>179</v>
      </c>
      <c r="E137" s="9" t="s">
        <v>180</v>
      </c>
      <c r="F137" s="13">
        <v>10.99</v>
      </c>
    </row>
    <row r="138" spans="1:6" x14ac:dyDescent="0.25">
      <c r="A138" s="2" t="s">
        <v>155</v>
      </c>
      <c r="B138" s="2" t="s">
        <v>173</v>
      </c>
      <c r="C138" s="3">
        <v>150356</v>
      </c>
      <c r="D138" s="4" t="s">
        <v>181</v>
      </c>
      <c r="E138" s="9"/>
      <c r="F138" s="13">
        <v>46.99</v>
      </c>
    </row>
    <row r="139" spans="1:6" x14ac:dyDescent="0.25">
      <c r="A139" s="2" t="s">
        <v>155</v>
      </c>
      <c r="B139" s="2" t="s">
        <v>182</v>
      </c>
      <c r="C139" s="3">
        <v>100373</v>
      </c>
      <c r="D139" s="4" t="s">
        <v>183</v>
      </c>
      <c r="E139" s="9"/>
      <c r="F139" s="13">
        <v>23.99</v>
      </c>
    </row>
    <row r="141" spans="1:6" x14ac:dyDescent="0.25">
      <c r="A141" s="2" t="s">
        <v>184</v>
      </c>
      <c r="B141" s="2" t="s">
        <v>185</v>
      </c>
      <c r="C141" s="3">
        <v>133469</v>
      </c>
      <c r="D141" s="4" t="s">
        <v>186</v>
      </c>
      <c r="E141" s="9"/>
      <c r="F141" s="13">
        <v>4.99</v>
      </c>
    </row>
    <row r="142" spans="1:6" x14ac:dyDescent="0.25">
      <c r="A142" s="2" t="s">
        <v>184</v>
      </c>
      <c r="B142" s="2" t="s">
        <v>187</v>
      </c>
      <c r="C142" s="3">
        <v>108410</v>
      </c>
      <c r="D142" s="4" t="s">
        <v>188</v>
      </c>
      <c r="E142" s="9"/>
      <c r="F142" s="13">
        <v>1.99</v>
      </c>
    </row>
    <row r="144" spans="1:6" x14ac:dyDescent="0.25">
      <c r="A144" s="2" t="s">
        <v>189</v>
      </c>
      <c r="B144" s="2" t="s">
        <v>190</v>
      </c>
      <c r="C144" s="3">
        <v>255232</v>
      </c>
      <c r="D144" s="4" t="s">
        <v>191</v>
      </c>
      <c r="E144" s="9"/>
      <c r="F144" s="13">
        <v>18.989999999999998</v>
      </c>
    </row>
    <row r="145" spans="1:6" x14ac:dyDescent="0.25">
      <c r="A145" s="2" t="s">
        <v>189</v>
      </c>
      <c r="B145" s="2" t="s">
        <v>190</v>
      </c>
      <c r="C145" s="3">
        <v>101137</v>
      </c>
      <c r="D145" s="4" t="s">
        <v>192</v>
      </c>
      <c r="E145" s="9"/>
      <c r="F145" s="13">
        <v>14.99</v>
      </c>
    </row>
    <row r="146" spans="1:6" x14ac:dyDescent="0.25">
      <c r="A146" s="2" t="s">
        <v>189</v>
      </c>
      <c r="B146" s="2" t="s">
        <v>111</v>
      </c>
      <c r="C146" s="3">
        <v>261728</v>
      </c>
      <c r="D146" s="4" t="s">
        <v>193</v>
      </c>
      <c r="E146" s="9"/>
      <c r="F146" s="13">
        <v>6.99</v>
      </c>
    </row>
    <row r="147" spans="1:6" x14ac:dyDescent="0.25">
      <c r="A147" s="2" t="s">
        <v>189</v>
      </c>
      <c r="B147" s="2" t="s">
        <v>111</v>
      </c>
      <c r="C147" s="3">
        <v>186826</v>
      </c>
      <c r="D147" s="4" t="s">
        <v>194</v>
      </c>
      <c r="E147" s="9"/>
      <c r="F147" s="13">
        <v>5.39</v>
      </c>
    </row>
    <row r="148" spans="1:6" x14ac:dyDescent="0.25">
      <c r="A148" s="2" t="s">
        <v>189</v>
      </c>
      <c r="B148" s="2" t="s">
        <v>111</v>
      </c>
      <c r="C148" s="3">
        <v>250013</v>
      </c>
      <c r="D148" s="4" t="s">
        <v>195</v>
      </c>
      <c r="E148" s="9"/>
      <c r="F148" s="13">
        <v>4.99</v>
      </c>
    </row>
    <row r="149" spans="1:6" x14ac:dyDescent="0.25">
      <c r="A149" s="2" t="s">
        <v>189</v>
      </c>
      <c r="B149" s="2" t="s">
        <v>111</v>
      </c>
      <c r="C149" s="3">
        <v>286197</v>
      </c>
      <c r="D149" s="4" t="s">
        <v>196</v>
      </c>
      <c r="E149" s="9"/>
      <c r="F149" s="13">
        <v>8.59</v>
      </c>
    </row>
    <row r="150" spans="1:6" x14ac:dyDescent="0.25">
      <c r="A150" s="2" t="s">
        <v>189</v>
      </c>
      <c r="B150" s="2" t="s">
        <v>197</v>
      </c>
      <c r="C150" s="3">
        <v>297920</v>
      </c>
      <c r="D150" s="4" t="s">
        <v>198</v>
      </c>
      <c r="E150" s="9"/>
      <c r="F150" s="13">
        <v>6.59</v>
      </c>
    </row>
    <row r="151" spans="1:6" x14ac:dyDescent="0.25">
      <c r="A151" s="2" t="s">
        <v>189</v>
      </c>
      <c r="B151" s="2" t="s">
        <v>197</v>
      </c>
      <c r="C151" s="3">
        <v>202443</v>
      </c>
      <c r="D151" s="4" t="s">
        <v>199</v>
      </c>
      <c r="E151" s="9"/>
      <c r="F151" s="13">
        <v>11.99</v>
      </c>
    </row>
    <row r="152" spans="1:6" x14ac:dyDescent="0.25">
      <c r="A152" s="2" t="s">
        <v>189</v>
      </c>
      <c r="B152" s="2" t="s">
        <v>200</v>
      </c>
      <c r="C152" s="3">
        <v>114256</v>
      </c>
      <c r="D152" s="4" t="s">
        <v>201</v>
      </c>
      <c r="E152" s="9"/>
      <c r="F152" s="13">
        <v>17.989999999999998</v>
      </c>
    </row>
    <row r="153" spans="1:6" x14ac:dyDescent="0.25">
      <c r="A153" s="2" t="s">
        <v>189</v>
      </c>
      <c r="B153" s="2" t="s">
        <v>113</v>
      </c>
      <c r="C153" s="3">
        <v>273006</v>
      </c>
      <c r="D153" s="4" t="s">
        <v>202</v>
      </c>
      <c r="E153" s="9"/>
      <c r="F153" s="13">
        <v>6.99</v>
      </c>
    </row>
    <row r="154" spans="1:6" x14ac:dyDescent="0.25">
      <c r="A154" s="2" t="s">
        <v>189</v>
      </c>
      <c r="B154" s="2" t="s">
        <v>203</v>
      </c>
      <c r="C154" s="3">
        <v>101874</v>
      </c>
      <c r="D154" s="4" t="s">
        <v>204</v>
      </c>
      <c r="E154" s="9" t="s">
        <v>205</v>
      </c>
      <c r="F154" s="13">
        <v>3.19</v>
      </c>
    </row>
    <row r="155" spans="1:6" x14ac:dyDescent="0.25">
      <c r="A155" s="2" t="s">
        <v>189</v>
      </c>
      <c r="B155" s="2" t="s">
        <v>206</v>
      </c>
      <c r="C155" s="3">
        <v>101066</v>
      </c>
      <c r="D155" s="4" t="s">
        <v>207</v>
      </c>
      <c r="E155" s="9"/>
      <c r="F155" s="13">
        <v>3.29</v>
      </c>
    </row>
    <row r="156" spans="1:6" x14ac:dyDescent="0.25">
      <c r="A156" s="2" t="s">
        <v>189</v>
      </c>
      <c r="B156" s="2" t="s">
        <v>206</v>
      </c>
      <c r="C156" s="3">
        <v>155079</v>
      </c>
      <c r="D156" s="4" t="s">
        <v>208</v>
      </c>
      <c r="E156" s="9"/>
      <c r="F156" s="13">
        <v>3.49</v>
      </c>
    </row>
    <row r="157" spans="1:6" x14ac:dyDescent="0.25">
      <c r="A157" s="2" t="s">
        <v>189</v>
      </c>
      <c r="B157" s="2" t="s">
        <v>206</v>
      </c>
      <c r="C157" s="3">
        <v>108434</v>
      </c>
      <c r="D157" s="4" t="s">
        <v>209</v>
      </c>
      <c r="E157" s="9"/>
      <c r="F157" s="13">
        <v>6.99</v>
      </c>
    </row>
    <row r="158" spans="1:6" x14ac:dyDescent="0.25">
      <c r="A158" s="2" t="s">
        <v>189</v>
      </c>
      <c r="B158" s="2" t="s">
        <v>206</v>
      </c>
      <c r="C158" s="3">
        <v>101083</v>
      </c>
      <c r="D158" s="4" t="s">
        <v>210</v>
      </c>
      <c r="E158" s="9"/>
      <c r="F158" s="13">
        <v>6.99</v>
      </c>
    </row>
    <row r="159" spans="1:6" x14ac:dyDescent="0.25">
      <c r="A159" s="2" t="s">
        <v>189</v>
      </c>
      <c r="B159" s="2" t="s">
        <v>211</v>
      </c>
      <c r="C159" s="3">
        <v>219003</v>
      </c>
      <c r="D159" s="4" t="s">
        <v>212</v>
      </c>
      <c r="E159" s="9"/>
      <c r="F159" s="13">
        <v>7.59</v>
      </c>
    </row>
    <row r="160" spans="1:6" x14ac:dyDescent="0.25">
      <c r="A160" s="2" t="s">
        <v>189</v>
      </c>
      <c r="B160" s="2" t="s">
        <v>211</v>
      </c>
      <c r="C160" s="3">
        <v>170363</v>
      </c>
      <c r="D160" s="4" t="s">
        <v>213</v>
      </c>
      <c r="E160" s="9"/>
      <c r="F160" s="13">
        <v>6.19</v>
      </c>
    </row>
    <row r="161" spans="1:6" x14ac:dyDescent="0.25">
      <c r="A161" s="2" t="s">
        <v>189</v>
      </c>
      <c r="B161" s="2" t="s">
        <v>214</v>
      </c>
      <c r="C161" s="3">
        <v>106922</v>
      </c>
      <c r="D161" s="4" t="s">
        <v>215</v>
      </c>
      <c r="E161" s="9"/>
      <c r="F161" s="13">
        <v>41.99</v>
      </c>
    </row>
    <row r="162" spans="1:6" x14ac:dyDescent="0.25">
      <c r="A162" s="2" t="s">
        <v>189</v>
      </c>
      <c r="B162" s="2" t="s">
        <v>214</v>
      </c>
      <c r="C162" s="3">
        <v>307145</v>
      </c>
      <c r="D162" s="4" t="s">
        <v>216</v>
      </c>
      <c r="E162" s="9"/>
      <c r="F162" s="13">
        <v>19.989999999999998</v>
      </c>
    </row>
    <row r="164" spans="1:6" x14ac:dyDescent="0.25">
      <c r="A164" s="2" t="s">
        <v>217</v>
      </c>
      <c r="B164" s="2" t="s">
        <v>185</v>
      </c>
      <c r="C164" s="3">
        <v>132657</v>
      </c>
      <c r="D164" s="4" t="s">
        <v>218</v>
      </c>
      <c r="E164" s="9"/>
      <c r="F164" s="13">
        <v>47.99</v>
      </c>
    </row>
    <row r="165" spans="1:6" x14ac:dyDescent="0.25">
      <c r="A165" s="2" t="s">
        <v>217</v>
      </c>
      <c r="B165" s="2" t="s">
        <v>185</v>
      </c>
      <c r="C165" s="3">
        <v>100709</v>
      </c>
      <c r="D165" s="4" t="s">
        <v>219</v>
      </c>
      <c r="E165" s="9"/>
      <c r="F165" s="13">
        <v>35.99</v>
      </c>
    </row>
    <row r="166" spans="1:6" x14ac:dyDescent="0.25">
      <c r="A166" s="2" t="s">
        <v>217</v>
      </c>
      <c r="B166" s="2" t="s">
        <v>185</v>
      </c>
      <c r="C166" s="3">
        <v>100737</v>
      </c>
      <c r="D166" s="4" t="s">
        <v>220</v>
      </c>
      <c r="E166" s="9"/>
      <c r="F166" s="13">
        <v>23.99</v>
      </c>
    </row>
    <row r="167" spans="1:6" x14ac:dyDescent="0.25">
      <c r="A167" s="2" t="s">
        <v>217</v>
      </c>
      <c r="B167" s="2" t="s">
        <v>185</v>
      </c>
      <c r="C167" s="3">
        <v>289034</v>
      </c>
      <c r="D167" s="4" t="s">
        <v>221</v>
      </c>
      <c r="E167" s="9"/>
      <c r="F167" s="13">
        <v>7.99</v>
      </c>
    </row>
    <row r="168" spans="1:6" x14ac:dyDescent="0.25">
      <c r="A168" s="2" t="s">
        <v>217</v>
      </c>
      <c r="B168" s="2" t="s">
        <v>185</v>
      </c>
      <c r="C168" s="3">
        <v>312579</v>
      </c>
      <c r="D168" s="4" t="s">
        <v>222</v>
      </c>
      <c r="E168" s="9"/>
      <c r="F168" s="13">
        <v>13.99</v>
      </c>
    </row>
    <row r="169" spans="1:6" x14ac:dyDescent="0.25">
      <c r="A169" s="2" t="s">
        <v>217</v>
      </c>
      <c r="B169" s="2" t="s">
        <v>185</v>
      </c>
      <c r="C169" s="3">
        <v>273714</v>
      </c>
      <c r="D169" s="4" t="s">
        <v>223</v>
      </c>
      <c r="E169" s="9"/>
      <c r="F169" s="13">
        <v>7.99</v>
      </c>
    </row>
    <row r="170" spans="1:6" x14ac:dyDescent="0.25">
      <c r="A170" s="2" t="s">
        <v>217</v>
      </c>
      <c r="B170" s="2" t="s">
        <v>185</v>
      </c>
      <c r="C170" s="3">
        <v>100780</v>
      </c>
      <c r="D170" s="4" t="s">
        <v>224</v>
      </c>
      <c r="E170" s="9"/>
      <c r="F170" s="13">
        <v>2.99</v>
      </c>
    </row>
    <row r="171" spans="1:6" x14ac:dyDescent="0.25">
      <c r="A171" s="2" t="s">
        <v>217</v>
      </c>
      <c r="B171" s="2" t="s">
        <v>185</v>
      </c>
      <c r="C171" s="3">
        <v>100789</v>
      </c>
      <c r="D171" s="4" t="s">
        <v>225</v>
      </c>
      <c r="E171" s="9" t="s">
        <v>226</v>
      </c>
      <c r="F171" s="13">
        <v>8.49</v>
      </c>
    </row>
    <row r="172" spans="1:6" x14ac:dyDescent="0.25">
      <c r="A172" s="2" t="s">
        <v>217</v>
      </c>
      <c r="B172" s="2" t="s">
        <v>185</v>
      </c>
      <c r="C172" s="3">
        <v>101728</v>
      </c>
      <c r="D172" s="4" t="s">
        <v>227</v>
      </c>
      <c r="E172" s="9"/>
      <c r="F172" s="13">
        <v>12.99</v>
      </c>
    </row>
    <row r="173" spans="1:6" x14ac:dyDescent="0.25">
      <c r="A173" s="2" t="s">
        <v>217</v>
      </c>
      <c r="B173" s="2" t="s">
        <v>185</v>
      </c>
      <c r="C173" s="3">
        <v>115724</v>
      </c>
      <c r="D173" s="4" t="s">
        <v>228</v>
      </c>
      <c r="E173" s="9"/>
      <c r="F173" s="13">
        <v>2.89</v>
      </c>
    </row>
    <row r="174" spans="1:6" x14ac:dyDescent="0.25">
      <c r="A174" s="2" t="s">
        <v>217</v>
      </c>
      <c r="B174" s="2" t="s">
        <v>185</v>
      </c>
      <c r="C174" s="3">
        <v>259414</v>
      </c>
      <c r="D174" s="4" t="s">
        <v>229</v>
      </c>
      <c r="E174" s="9"/>
      <c r="F174" s="13">
        <v>2.19</v>
      </c>
    </row>
    <row r="175" spans="1:6" x14ac:dyDescent="0.25">
      <c r="A175" s="2" t="s">
        <v>217</v>
      </c>
      <c r="B175" s="2" t="s">
        <v>185</v>
      </c>
      <c r="C175" s="3">
        <v>321107</v>
      </c>
      <c r="D175" s="4" t="s">
        <v>230</v>
      </c>
      <c r="E175" s="9"/>
      <c r="F175" s="13">
        <v>1.99</v>
      </c>
    </row>
    <row r="176" spans="1:6" x14ac:dyDescent="0.25">
      <c r="A176" s="2" t="s">
        <v>217</v>
      </c>
      <c r="B176" s="2" t="s">
        <v>185</v>
      </c>
      <c r="C176" s="3">
        <v>100876</v>
      </c>
      <c r="D176" s="4" t="s">
        <v>231</v>
      </c>
      <c r="E176" s="9"/>
      <c r="F176" s="13">
        <v>14.49</v>
      </c>
    </row>
    <row r="177" spans="1:6" x14ac:dyDescent="0.25">
      <c r="A177" s="2" t="s">
        <v>217</v>
      </c>
      <c r="B177" s="2" t="s">
        <v>185</v>
      </c>
      <c r="C177" s="3">
        <v>119560</v>
      </c>
      <c r="D177" s="4" t="s">
        <v>232</v>
      </c>
      <c r="E177" s="9" t="s">
        <v>233</v>
      </c>
      <c r="F177" s="13">
        <v>5.49</v>
      </c>
    </row>
    <row r="178" spans="1:6" x14ac:dyDescent="0.25">
      <c r="A178" s="2" t="s">
        <v>217</v>
      </c>
      <c r="B178" s="2" t="s">
        <v>185</v>
      </c>
      <c r="C178" s="3">
        <v>106961</v>
      </c>
      <c r="D178" s="4" t="s">
        <v>234</v>
      </c>
      <c r="E178" s="9" t="s">
        <v>235</v>
      </c>
      <c r="F178" s="13">
        <v>3.89</v>
      </c>
    </row>
    <row r="179" spans="1:6" x14ac:dyDescent="0.25">
      <c r="A179" s="2" t="s">
        <v>217</v>
      </c>
      <c r="B179" s="2" t="s">
        <v>236</v>
      </c>
      <c r="C179" s="3">
        <v>107640</v>
      </c>
      <c r="D179" s="4" t="s">
        <v>237</v>
      </c>
      <c r="E179" s="9"/>
      <c r="F179" s="13">
        <v>4.1900000000000004</v>
      </c>
    </row>
    <row r="180" spans="1:6" x14ac:dyDescent="0.25">
      <c r="A180" s="2" t="s">
        <v>217</v>
      </c>
      <c r="B180" s="2" t="s">
        <v>236</v>
      </c>
      <c r="C180" s="3">
        <v>234316</v>
      </c>
      <c r="D180" s="4" t="s">
        <v>238</v>
      </c>
      <c r="E180" s="9"/>
      <c r="F180" s="13">
        <v>4.1900000000000004</v>
      </c>
    </row>
    <row r="181" spans="1:6" x14ac:dyDescent="0.25">
      <c r="A181" s="2" t="s">
        <v>217</v>
      </c>
      <c r="B181" s="2" t="s">
        <v>236</v>
      </c>
      <c r="C181" s="3">
        <v>100754</v>
      </c>
      <c r="D181" s="4" t="s">
        <v>239</v>
      </c>
      <c r="E181" s="9"/>
      <c r="F181" s="13">
        <v>23.99</v>
      </c>
    </row>
    <row r="182" spans="1:6" x14ac:dyDescent="0.25">
      <c r="A182" s="2" t="s">
        <v>217</v>
      </c>
      <c r="B182" s="2" t="s">
        <v>236</v>
      </c>
      <c r="C182" s="3">
        <v>287208</v>
      </c>
      <c r="D182" s="4" t="s">
        <v>240</v>
      </c>
      <c r="E182" s="9"/>
      <c r="F182" s="13">
        <v>19.989999999999998</v>
      </c>
    </row>
    <row r="183" spans="1:6" x14ac:dyDescent="0.25">
      <c r="A183" s="2" t="s">
        <v>217</v>
      </c>
      <c r="B183" s="2" t="s">
        <v>241</v>
      </c>
      <c r="C183" s="3">
        <v>100705</v>
      </c>
      <c r="D183" s="4" t="s">
        <v>242</v>
      </c>
      <c r="E183" s="9" t="s">
        <v>243</v>
      </c>
      <c r="F183" s="13">
        <v>5.99</v>
      </c>
    </row>
    <row r="184" spans="1:6" x14ac:dyDescent="0.25">
      <c r="A184" s="2" t="s">
        <v>217</v>
      </c>
      <c r="B184" s="2" t="s">
        <v>244</v>
      </c>
      <c r="C184" s="3">
        <v>142475</v>
      </c>
      <c r="D184" s="4" t="s">
        <v>245</v>
      </c>
      <c r="E184" s="9"/>
      <c r="F184" s="13">
        <v>3.19</v>
      </c>
    </row>
    <row r="185" spans="1:6" x14ac:dyDescent="0.25">
      <c r="A185" s="2" t="s">
        <v>217</v>
      </c>
      <c r="B185" s="2" t="s">
        <v>244</v>
      </c>
      <c r="C185" s="3">
        <v>100642</v>
      </c>
      <c r="D185" s="4" t="s">
        <v>246</v>
      </c>
      <c r="E185" s="9"/>
      <c r="F185" s="13">
        <v>2.99</v>
      </c>
    </row>
    <row r="186" spans="1:6" x14ac:dyDescent="0.25">
      <c r="A186" s="2" t="s">
        <v>217</v>
      </c>
      <c r="B186" s="2" t="s">
        <v>244</v>
      </c>
      <c r="C186" s="3">
        <v>274807</v>
      </c>
      <c r="D186" s="4" t="s">
        <v>247</v>
      </c>
      <c r="E186" s="9"/>
      <c r="F186" s="13">
        <v>2.89</v>
      </c>
    </row>
    <row r="187" spans="1:6" x14ac:dyDescent="0.25">
      <c r="A187" s="2" t="s">
        <v>217</v>
      </c>
      <c r="B187" s="2" t="s">
        <v>244</v>
      </c>
      <c r="C187" s="3">
        <v>100632</v>
      </c>
      <c r="D187" s="4" t="s">
        <v>248</v>
      </c>
      <c r="E187" s="9"/>
      <c r="F187" s="13">
        <v>11.99</v>
      </c>
    </row>
    <row r="189" spans="1:6" x14ac:dyDescent="0.25">
      <c r="A189" s="2" t="s">
        <v>249</v>
      </c>
      <c r="B189" s="2" t="s">
        <v>250</v>
      </c>
      <c r="C189" s="3">
        <v>237712</v>
      </c>
      <c r="D189" s="4" t="s">
        <v>251</v>
      </c>
      <c r="E189" s="9"/>
      <c r="F189" s="13">
        <v>32.99</v>
      </c>
    </row>
    <row r="190" spans="1:6" x14ac:dyDescent="0.25">
      <c r="A190" s="2" t="s">
        <v>249</v>
      </c>
      <c r="B190" s="2" t="s">
        <v>250</v>
      </c>
      <c r="C190" s="3">
        <v>150899</v>
      </c>
      <c r="D190" s="4" t="s">
        <v>252</v>
      </c>
      <c r="E190" s="9"/>
      <c r="F190" s="13">
        <v>69.989999999999995</v>
      </c>
    </row>
    <row r="191" spans="1:6" x14ac:dyDescent="0.25">
      <c r="A191" s="2" t="s">
        <v>249</v>
      </c>
      <c r="B191" s="2" t="s">
        <v>250</v>
      </c>
      <c r="C191" s="3">
        <v>324722</v>
      </c>
      <c r="D191" s="4" t="s">
        <v>253</v>
      </c>
      <c r="E191" s="9"/>
      <c r="F191" s="13">
        <v>64.989999999999995</v>
      </c>
    </row>
    <row r="192" spans="1:6" x14ac:dyDescent="0.25">
      <c r="A192" s="2" t="s">
        <v>249</v>
      </c>
      <c r="B192" s="2" t="s">
        <v>250</v>
      </c>
      <c r="C192" s="3">
        <v>105921</v>
      </c>
      <c r="D192" s="4" t="s">
        <v>254</v>
      </c>
      <c r="E192" s="9"/>
      <c r="F192" s="13">
        <v>7.69</v>
      </c>
    </row>
    <row r="194" spans="1:6" x14ac:dyDescent="0.25">
      <c r="A194" s="2" t="s">
        <v>255</v>
      </c>
      <c r="B194" s="2" t="s">
        <v>256</v>
      </c>
      <c r="C194" s="3">
        <v>252582</v>
      </c>
      <c r="D194" s="4" t="s">
        <v>257</v>
      </c>
      <c r="E194" s="9"/>
      <c r="F194" s="13">
        <v>38.99</v>
      </c>
    </row>
    <row r="196" spans="1:6" x14ac:dyDescent="0.25">
      <c r="A196" s="2" t="s">
        <v>255</v>
      </c>
      <c r="B196" s="2" t="s">
        <v>258</v>
      </c>
      <c r="C196" s="3">
        <v>105838</v>
      </c>
      <c r="D196" s="4" t="s">
        <v>259</v>
      </c>
      <c r="E196" s="9"/>
      <c r="F196" s="13">
        <v>10.99</v>
      </c>
    </row>
    <row r="197" spans="1:6" x14ac:dyDescent="0.25">
      <c r="A197" s="2" t="s">
        <v>255</v>
      </c>
      <c r="B197" s="2" t="s">
        <v>258</v>
      </c>
      <c r="C197" s="3">
        <v>105840</v>
      </c>
      <c r="D197" s="4" t="s">
        <v>260</v>
      </c>
      <c r="E197" s="9"/>
      <c r="F197" s="13">
        <v>15.99</v>
      </c>
    </row>
    <row r="198" spans="1:6" x14ac:dyDescent="0.25">
      <c r="A198" s="2" t="s">
        <v>255</v>
      </c>
      <c r="B198" s="2" t="s">
        <v>258</v>
      </c>
      <c r="C198" s="3">
        <v>109597</v>
      </c>
      <c r="D198" s="4" t="s">
        <v>261</v>
      </c>
      <c r="E198" s="9"/>
      <c r="F198" s="13">
        <v>17.989999999999998</v>
      </c>
    </row>
    <row r="199" spans="1:6" x14ac:dyDescent="0.25">
      <c r="A199" s="2" t="s">
        <v>255</v>
      </c>
      <c r="B199" s="2" t="s">
        <v>258</v>
      </c>
      <c r="C199" s="3">
        <v>119927</v>
      </c>
      <c r="D199" s="4" t="s">
        <v>262</v>
      </c>
      <c r="E199" s="9"/>
      <c r="F199" s="13">
        <v>9.99</v>
      </c>
    </row>
    <row r="200" spans="1:6" x14ac:dyDescent="0.25">
      <c r="A200" s="2" t="s">
        <v>255</v>
      </c>
      <c r="B200" s="2" t="s">
        <v>24</v>
      </c>
      <c r="C200" s="3">
        <v>105788</v>
      </c>
      <c r="D200" s="4" t="s">
        <v>263</v>
      </c>
      <c r="E200" s="9"/>
      <c r="F200" s="13">
        <v>28.99</v>
      </c>
    </row>
    <row r="201" spans="1:6" x14ac:dyDescent="0.25">
      <c r="A201" s="2" t="s">
        <v>255</v>
      </c>
      <c r="B201" s="2" t="s">
        <v>24</v>
      </c>
      <c r="C201" s="3">
        <v>329843</v>
      </c>
      <c r="D201" s="4" t="s">
        <v>264</v>
      </c>
      <c r="E201" s="9"/>
      <c r="F201" s="13">
        <v>19.989999999999998</v>
      </c>
    </row>
    <row r="202" spans="1:6" x14ac:dyDescent="0.25">
      <c r="A202" s="2" t="s">
        <v>255</v>
      </c>
      <c r="B202" s="2" t="s">
        <v>24</v>
      </c>
      <c r="C202" s="3">
        <v>228422</v>
      </c>
      <c r="D202" s="4" t="s">
        <v>265</v>
      </c>
      <c r="E202" s="9"/>
      <c r="F202" s="13">
        <v>17.989999999999998</v>
      </c>
    </row>
    <row r="203" spans="1:6" x14ac:dyDescent="0.25">
      <c r="A203" s="2" t="s">
        <v>255</v>
      </c>
      <c r="B203" s="2" t="s">
        <v>24</v>
      </c>
      <c r="C203" s="3">
        <v>189031</v>
      </c>
      <c r="D203" s="4" t="s">
        <v>266</v>
      </c>
      <c r="E203" s="9"/>
      <c r="F203" s="13">
        <v>17.989999999999998</v>
      </c>
    </row>
    <row r="204" spans="1:6" x14ac:dyDescent="0.25">
      <c r="A204" s="2" t="s">
        <v>255</v>
      </c>
      <c r="B204" s="2" t="s">
        <v>24</v>
      </c>
      <c r="C204" s="3">
        <v>105765</v>
      </c>
      <c r="D204" s="4" t="s">
        <v>267</v>
      </c>
      <c r="E204" s="9"/>
      <c r="F204" s="13">
        <v>9.99</v>
      </c>
    </row>
    <row r="205" spans="1:6" x14ac:dyDescent="0.25">
      <c r="A205" s="2" t="s">
        <v>255</v>
      </c>
      <c r="B205" s="2" t="s">
        <v>24</v>
      </c>
      <c r="C205" s="3">
        <v>129516</v>
      </c>
      <c r="D205" s="4" t="s">
        <v>268</v>
      </c>
      <c r="E205" s="9"/>
      <c r="F205" s="13">
        <v>28.99</v>
      </c>
    </row>
    <row r="206" spans="1:6" x14ac:dyDescent="0.25">
      <c r="A206" s="2" t="s">
        <v>255</v>
      </c>
      <c r="B206" s="2" t="s">
        <v>24</v>
      </c>
      <c r="C206" s="3">
        <v>132881</v>
      </c>
      <c r="D206" s="4" t="s">
        <v>269</v>
      </c>
      <c r="E206" s="9"/>
      <c r="F206" s="13">
        <v>8.99</v>
      </c>
    </row>
    <row r="208" spans="1:6" x14ac:dyDescent="0.25">
      <c r="A208" s="2" t="s">
        <v>270</v>
      </c>
      <c r="B208" s="2" t="s">
        <v>271</v>
      </c>
      <c r="C208" s="3">
        <v>268136</v>
      </c>
      <c r="D208" s="4" t="s">
        <v>272</v>
      </c>
      <c r="E208" s="9"/>
      <c r="F208" s="13">
        <v>13.99</v>
      </c>
    </row>
    <row r="209" spans="1:6" x14ac:dyDescent="0.25">
      <c r="A209" s="2" t="s">
        <v>270</v>
      </c>
      <c r="B209" s="2" t="s">
        <v>273</v>
      </c>
      <c r="C209" s="3">
        <v>276943</v>
      </c>
      <c r="D209" s="4" t="s">
        <v>274</v>
      </c>
      <c r="E209" s="9"/>
      <c r="F209" s="13">
        <v>14.49</v>
      </c>
    </row>
    <row r="210" spans="1:6" x14ac:dyDescent="0.25">
      <c r="A210" s="2" t="s">
        <v>270</v>
      </c>
      <c r="B210" s="2" t="s">
        <v>203</v>
      </c>
      <c r="C210" s="3">
        <v>246975</v>
      </c>
      <c r="D210" s="4" t="s">
        <v>275</v>
      </c>
      <c r="E210" s="9" t="s">
        <v>276</v>
      </c>
      <c r="F210" s="13">
        <v>18.989999999999998</v>
      </c>
    </row>
    <row r="211" spans="1:6" x14ac:dyDescent="0.25">
      <c r="A211" s="2" t="s">
        <v>270</v>
      </c>
      <c r="B211" s="2" t="s">
        <v>256</v>
      </c>
      <c r="C211" s="3">
        <v>222974</v>
      </c>
      <c r="D211" s="4" t="s">
        <v>277</v>
      </c>
      <c r="E211" s="9"/>
      <c r="F211" s="13">
        <v>7.49</v>
      </c>
    </row>
    <row r="212" spans="1:6" x14ac:dyDescent="0.25">
      <c r="A212" s="2" t="s">
        <v>270</v>
      </c>
      <c r="B212" s="2" t="s">
        <v>256</v>
      </c>
      <c r="C212" s="3">
        <v>332779</v>
      </c>
      <c r="D212" s="4" t="s">
        <v>278</v>
      </c>
      <c r="E212" s="9"/>
      <c r="F212" s="13">
        <v>15.3</v>
      </c>
    </row>
    <row r="213" spans="1:6" x14ac:dyDescent="0.25">
      <c r="A213" s="2" t="s">
        <v>270</v>
      </c>
      <c r="B213" s="2" t="s">
        <v>256</v>
      </c>
      <c r="C213" s="3">
        <v>155246</v>
      </c>
      <c r="D213" s="4" t="s">
        <v>279</v>
      </c>
      <c r="E213" s="9"/>
      <c r="F213" s="13">
        <v>13.5</v>
      </c>
    </row>
    <row r="214" spans="1:6" x14ac:dyDescent="0.25">
      <c r="A214" s="2" t="s">
        <v>270</v>
      </c>
      <c r="B214" s="2" t="s">
        <v>256</v>
      </c>
      <c r="C214" s="3">
        <v>156502</v>
      </c>
      <c r="D214" s="4" t="s">
        <v>280</v>
      </c>
      <c r="E214" s="9"/>
      <c r="F214" s="13">
        <v>40.5</v>
      </c>
    </row>
    <row r="216" spans="1:6" x14ac:dyDescent="0.25">
      <c r="A216" s="2" t="s">
        <v>270</v>
      </c>
      <c r="B216" s="2" t="s">
        <v>281</v>
      </c>
      <c r="C216" s="3">
        <v>215182</v>
      </c>
      <c r="D216" s="4" t="s">
        <v>282</v>
      </c>
      <c r="E216" s="9"/>
      <c r="F216" s="13">
        <v>19.989999999999998</v>
      </c>
    </row>
    <row r="218" spans="1:6" x14ac:dyDescent="0.25">
      <c r="A218" s="2" t="s">
        <v>270</v>
      </c>
      <c r="B218" s="2" t="s">
        <v>258</v>
      </c>
      <c r="C218" s="3">
        <v>108785</v>
      </c>
      <c r="D218" s="4" t="s">
        <v>283</v>
      </c>
      <c r="E218" s="9"/>
      <c r="F218" s="13">
        <v>16.989999999999998</v>
      </c>
    </row>
    <row r="219" spans="1:6" x14ac:dyDescent="0.25">
      <c r="A219" s="2" t="s">
        <v>270</v>
      </c>
      <c r="B219" s="2" t="s">
        <v>258</v>
      </c>
      <c r="C219" s="3">
        <v>108774</v>
      </c>
      <c r="D219" s="4" t="s">
        <v>284</v>
      </c>
      <c r="E219" s="9"/>
      <c r="F219" s="13">
        <v>19.989999999999998</v>
      </c>
    </row>
    <row r="220" spans="1:6" x14ac:dyDescent="0.25">
      <c r="A220" s="2" t="s">
        <v>270</v>
      </c>
      <c r="B220" s="2" t="s">
        <v>24</v>
      </c>
      <c r="C220" s="3">
        <v>227259</v>
      </c>
      <c r="D220" s="4" t="s">
        <v>285</v>
      </c>
      <c r="E220" s="9"/>
      <c r="F220" s="13">
        <v>6.79</v>
      </c>
    </row>
    <row r="221" spans="1:6" x14ac:dyDescent="0.25">
      <c r="A221" s="2" t="s">
        <v>270</v>
      </c>
      <c r="B221" s="2" t="s">
        <v>286</v>
      </c>
      <c r="C221" s="3">
        <v>138538</v>
      </c>
      <c r="D221" s="4" t="s">
        <v>287</v>
      </c>
      <c r="E221" s="9" t="s">
        <v>288</v>
      </c>
      <c r="F221" s="13">
        <v>8.19</v>
      </c>
    </row>
    <row r="223" spans="1:6" x14ac:dyDescent="0.25">
      <c r="A223" s="2" t="s">
        <v>289</v>
      </c>
      <c r="B223" s="2" t="s">
        <v>44</v>
      </c>
      <c r="C223" s="3">
        <v>242795</v>
      </c>
      <c r="D223" s="4" t="s">
        <v>290</v>
      </c>
      <c r="E223" s="9" t="s">
        <v>291</v>
      </c>
      <c r="F223" s="13">
        <v>25.99</v>
      </c>
    </row>
    <row r="224" spans="1:6" x14ac:dyDescent="0.25">
      <c r="A224" s="2" t="s">
        <v>289</v>
      </c>
      <c r="B224" s="2" t="s">
        <v>44</v>
      </c>
      <c r="C224" s="3">
        <v>289007</v>
      </c>
      <c r="D224" s="4" t="s">
        <v>292</v>
      </c>
      <c r="E224" s="9"/>
      <c r="F224" s="13">
        <v>36</v>
      </c>
    </row>
    <row r="225" spans="1:6" ht="24" x14ac:dyDescent="0.25">
      <c r="A225" s="2" t="s">
        <v>289</v>
      </c>
      <c r="B225" s="2" t="s">
        <v>44</v>
      </c>
      <c r="C225" s="3">
        <v>138139</v>
      </c>
      <c r="D225" s="4" t="s">
        <v>293</v>
      </c>
      <c r="E225" s="9" t="s">
        <v>294</v>
      </c>
      <c r="F225" s="13">
        <v>9.99</v>
      </c>
    </row>
    <row r="226" spans="1:6" x14ac:dyDescent="0.25">
      <c r="A226" s="2" t="s">
        <v>289</v>
      </c>
      <c r="B226" s="2" t="s">
        <v>44</v>
      </c>
      <c r="C226" s="3">
        <v>156523</v>
      </c>
      <c r="D226" s="4" t="s">
        <v>295</v>
      </c>
      <c r="E226" s="9"/>
      <c r="F226" s="13">
        <v>16</v>
      </c>
    </row>
    <row r="227" spans="1:6" x14ac:dyDescent="0.25">
      <c r="A227" s="2" t="s">
        <v>289</v>
      </c>
      <c r="B227" s="2" t="s">
        <v>44</v>
      </c>
      <c r="C227" s="3">
        <v>277148</v>
      </c>
      <c r="D227" s="4" t="s">
        <v>296</v>
      </c>
      <c r="E227" s="9"/>
      <c r="F227" s="13">
        <v>15.99</v>
      </c>
    </row>
    <row r="228" spans="1:6" x14ac:dyDescent="0.25">
      <c r="A228" s="2" t="s">
        <v>289</v>
      </c>
      <c r="B228" s="2" t="s">
        <v>44</v>
      </c>
      <c r="C228" s="3">
        <v>297570</v>
      </c>
      <c r="D228" s="4" t="s">
        <v>297</v>
      </c>
      <c r="E228" s="9"/>
      <c r="F228" s="13">
        <v>19.989999999999998</v>
      </c>
    </row>
    <row r="229" spans="1:6" ht="24" x14ac:dyDescent="0.25">
      <c r="A229" s="2" t="s">
        <v>289</v>
      </c>
      <c r="B229" s="2" t="s">
        <v>44</v>
      </c>
      <c r="C229" s="3">
        <v>161653</v>
      </c>
      <c r="D229" s="4" t="s">
        <v>298</v>
      </c>
      <c r="E229" s="9" t="s">
        <v>299</v>
      </c>
      <c r="F229" s="13">
        <v>7.99</v>
      </c>
    </row>
    <row r="230" spans="1:6" x14ac:dyDescent="0.25">
      <c r="A230" s="2" t="s">
        <v>289</v>
      </c>
      <c r="B230" s="2" t="s">
        <v>44</v>
      </c>
      <c r="C230" s="3">
        <v>215573</v>
      </c>
      <c r="D230" s="4" t="s">
        <v>300</v>
      </c>
      <c r="E230" s="9"/>
      <c r="F230" s="13">
        <v>12</v>
      </c>
    </row>
    <row r="231" spans="1:6" x14ac:dyDescent="0.25">
      <c r="A231" s="2" t="s">
        <v>289</v>
      </c>
      <c r="B231" s="2" t="s">
        <v>301</v>
      </c>
      <c r="C231" s="3">
        <v>182034</v>
      </c>
      <c r="D231" s="4" t="s">
        <v>302</v>
      </c>
      <c r="E231" s="9"/>
      <c r="F231" s="13">
        <v>14.99</v>
      </c>
    </row>
    <row r="232" spans="1:6" x14ac:dyDescent="0.25">
      <c r="A232" s="2" t="s">
        <v>289</v>
      </c>
      <c r="B232" s="2" t="s">
        <v>301</v>
      </c>
      <c r="C232" s="3">
        <v>314034</v>
      </c>
      <c r="D232" s="4" t="s">
        <v>303</v>
      </c>
      <c r="E232" s="9"/>
      <c r="F232" s="13">
        <v>10.99</v>
      </c>
    </row>
    <row r="233" spans="1:6" x14ac:dyDescent="0.25">
      <c r="A233" s="2" t="s">
        <v>289</v>
      </c>
      <c r="B233" s="2" t="s">
        <v>301</v>
      </c>
      <c r="C233" s="3">
        <v>208281</v>
      </c>
      <c r="D233" s="4" t="s">
        <v>304</v>
      </c>
      <c r="E233" s="9"/>
      <c r="F233" s="13">
        <v>6.99</v>
      </c>
    </row>
    <row r="234" spans="1:6" x14ac:dyDescent="0.25">
      <c r="A234" s="2" t="s">
        <v>289</v>
      </c>
      <c r="B234" s="2" t="s">
        <v>305</v>
      </c>
      <c r="C234" s="3">
        <v>258213</v>
      </c>
      <c r="D234" s="4" t="s">
        <v>306</v>
      </c>
      <c r="E234" s="9" t="s">
        <v>307</v>
      </c>
      <c r="F234" s="13">
        <v>28.99</v>
      </c>
    </row>
    <row r="235" spans="1:6" x14ac:dyDescent="0.25">
      <c r="A235" s="2" t="s">
        <v>289</v>
      </c>
      <c r="B235" s="2" t="s">
        <v>305</v>
      </c>
      <c r="C235" s="3">
        <v>229916</v>
      </c>
      <c r="D235" s="4" t="s">
        <v>308</v>
      </c>
      <c r="E235" s="9" t="s">
        <v>309</v>
      </c>
      <c r="F235" s="13">
        <v>49.99</v>
      </c>
    </row>
    <row r="236" spans="1:6" x14ac:dyDescent="0.25">
      <c r="A236" s="2" t="s">
        <v>289</v>
      </c>
      <c r="B236" s="2" t="s">
        <v>310</v>
      </c>
      <c r="C236" s="3">
        <v>199322</v>
      </c>
      <c r="D236" s="4" t="s">
        <v>311</v>
      </c>
      <c r="E236" s="9" t="s">
        <v>312</v>
      </c>
      <c r="F236" s="13">
        <v>9.99</v>
      </c>
    </row>
    <row r="237" spans="1:6" ht="24" x14ac:dyDescent="0.25">
      <c r="A237" s="2" t="s">
        <v>289</v>
      </c>
      <c r="B237" s="2" t="s">
        <v>313</v>
      </c>
      <c r="C237" s="3">
        <v>109064</v>
      </c>
      <c r="D237" s="4" t="s">
        <v>314</v>
      </c>
      <c r="E237" s="9" t="s">
        <v>315</v>
      </c>
      <c r="F237" s="13">
        <v>8.99</v>
      </c>
    </row>
    <row r="238" spans="1:6" x14ac:dyDescent="0.25">
      <c r="A238" s="2" t="s">
        <v>289</v>
      </c>
      <c r="B238" s="2" t="s">
        <v>313</v>
      </c>
      <c r="C238" s="3">
        <v>256740</v>
      </c>
      <c r="D238" s="4" t="s">
        <v>316</v>
      </c>
      <c r="E238" s="9"/>
      <c r="F238" s="13">
        <v>9.6</v>
      </c>
    </row>
    <row r="239" spans="1:6" x14ac:dyDescent="0.25">
      <c r="A239" s="2" t="s">
        <v>289</v>
      </c>
      <c r="B239" s="2" t="s">
        <v>313</v>
      </c>
      <c r="C239" s="3">
        <v>242760</v>
      </c>
      <c r="D239" s="4" t="s">
        <v>317</v>
      </c>
      <c r="E239" s="9" t="s">
        <v>318</v>
      </c>
      <c r="F239" s="13">
        <v>8</v>
      </c>
    </row>
    <row r="240" spans="1:6" x14ac:dyDescent="0.25">
      <c r="A240" s="2" t="s">
        <v>289</v>
      </c>
      <c r="B240" s="2" t="s">
        <v>313</v>
      </c>
      <c r="C240" s="3">
        <v>242759</v>
      </c>
      <c r="D240" s="4" t="s">
        <v>319</v>
      </c>
      <c r="E240" s="9"/>
      <c r="F240" s="13">
        <v>7.59</v>
      </c>
    </row>
    <row r="241" spans="1:6" x14ac:dyDescent="0.25">
      <c r="A241" s="2" t="s">
        <v>289</v>
      </c>
      <c r="B241" s="2" t="s">
        <v>320</v>
      </c>
      <c r="C241" s="3">
        <v>103700</v>
      </c>
      <c r="D241" s="4" t="s">
        <v>321</v>
      </c>
      <c r="E241" s="9" t="s">
        <v>322</v>
      </c>
      <c r="F241" s="13">
        <v>9.99</v>
      </c>
    </row>
    <row r="242" spans="1:6" x14ac:dyDescent="0.25">
      <c r="A242" s="2" t="s">
        <v>289</v>
      </c>
      <c r="B242" s="2" t="s">
        <v>323</v>
      </c>
      <c r="C242" s="3">
        <v>265970</v>
      </c>
      <c r="D242" s="4" t="s">
        <v>324</v>
      </c>
      <c r="E242" s="9"/>
      <c r="F242" s="13">
        <v>25.99</v>
      </c>
    </row>
    <row r="243" spans="1:6" x14ac:dyDescent="0.25">
      <c r="A243" s="2" t="s">
        <v>289</v>
      </c>
      <c r="B243" s="2" t="s">
        <v>323</v>
      </c>
      <c r="C243" s="3">
        <v>104371</v>
      </c>
      <c r="D243" s="4" t="s">
        <v>325</v>
      </c>
      <c r="E243" s="9"/>
      <c r="F243" s="13">
        <v>9.99</v>
      </c>
    </row>
    <row r="244" spans="1:6" x14ac:dyDescent="0.25">
      <c r="A244" s="2" t="s">
        <v>289</v>
      </c>
      <c r="B244" s="2" t="s">
        <v>326</v>
      </c>
      <c r="C244" s="3">
        <v>268023</v>
      </c>
      <c r="D244" s="4" t="s">
        <v>327</v>
      </c>
      <c r="E244" s="9"/>
      <c r="F244" s="13">
        <v>2.29</v>
      </c>
    </row>
    <row r="245" spans="1:6" x14ac:dyDescent="0.25">
      <c r="A245" s="2" t="s">
        <v>289</v>
      </c>
      <c r="B245" s="2" t="s">
        <v>328</v>
      </c>
      <c r="C245" s="3">
        <v>187000</v>
      </c>
      <c r="D245" s="4" t="s">
        <v>329</v>
      </c>
      <c r="E245" s="9" t="s">
        <v>330</v>
      </c>
      <c r="F245" s="13">
        <v>4.99</v>
      </c>
    </row>
    <row r="247" spans="1:6" x14ac:dyDescent="0.25">
      <c r="A247" s="2" t="s">
        <v>331</v>
      </c>
      <c r="B247" s="2" t="s">
        <v>185</v>
      </c>
      <c r="C247" s="3">
        <v>100886</v>
      </c>
      <c r="D247" s="4" t="s">
        <v>332</v>
      </c>
      <c r="E247" s="9"/>
      <c r="F247" s="13">
        <v>4.49</v>
      </c>
    </row>
    <row r="248" spans="1:6" x14ac:dyDescent="0.25">
      <c r="A248" s="2" t="s">
        <v>331</v>
      </c>
      <c r="B248" s="2" t="s">
        <v>187</v>
      </c>
      <c r="C248" s="3">
        <v>108412</v>
      </c>
      <c r="D248" s="4" t="s">
        <v>333</v>
      </c>
      <c r="E248" s="9"/>
      <c r="F248" s="13">
        <v>1.99</v>
      </c>
    </row>
    <row r="250" spans="1:6" x14ac:dyDescent="0.25">
      <c r="A250" s="2" t="s">
        <v>334</v>
      </c>
      <c r="B250" s="2" t="s">
        <v>159</v>
      </c>
      <c r="C250" s="3">
        <v>285689</v>
      </c>
      <c r="D250" s="4" t="s">
        <v>335</v>
      </c>
      <c r="E250" s="9"/>
      <c r="F250" s="13">
        <v>10.99</v>
      </c>
    </row>
    <row r="251" spans="1:6" x14ac:dyDescent="0.25">
      <c r="A251" s="2" t="s">
        <v>334</v>
      </c>
      <c r="B251" s="2" t="s">
        <v>162</v>
      </c>
      <c r="C251" s="3">
        <v>186012</v>
      </c>
      <c r="D251" s="4" t="s">
        <v>336</v>
      </c>
      <c r="E251" s="9"/>
      <c r="F251" s="13">
        <v>7.99</v>
      </c>
    </row>
    <row r="252" spans="1:6" x14ac:dyDescent="0.25">
      <c r="A252" s="2" t="s">
        <v>334</v>
      </c>
      <c r="B252" s="2" t="s">
        <v>162</v>
      </c>
      <c r="C252" s="3">
        <v>123791</v>
      </c>
      <c r="D252" s="4" t="s">
        <v>337</v>
      </c>
      <c r="E252" s="9"/>
      <c r="F252" s="13">
        <v>9.99</v>
      </c>
    </row>
    <row r="253" spans="1:6" x14ac:dyDescent="0.25">
      <c r="A253" s="2" t="s">
        <v>334</v>
      </c>
      <c r="B253" s="2" t="s">
        <v>338</v>
      </c>
      <c r="C253" s="3">
        <v>200131</v>
      </c>
      <c r="D253" s="4" t="s">
        <v>339</v>
      </c>
      <c r="E253" s="9"/>
      <c r="F253" s="13">
        <v>36.99</v>
      </c>
    </row>
    <row r="254" spans="1:6" x14ac:dyDescent="0.25">
      <c r="A254" s="2" t="s">
        <v>334</v>
      </c>
      <c r="B254" s="2" t="s">
        <v>168</v>
      </c>
      <c r="C254" s="3">
        <v>118939</v>
      </c>
      <c r="D254" s="4" t="s">
        <v>340</v>
      </c>
      <c r="E254" s="9" t="s">
        <v>341</v>
      </c>
      <c r="F254" s="13">
        <v>3.59</v>
      </c>
    </row>
  </sheetData>
  <pageMargins left="0.74803149606299213" right="0.74803149606299213" top="0.98425196850393704" bottom="0.98425196850393704" header="0.51181102362204722" footer="0.51181102362204722"/>
  <pageSetup paperSize="9" scale="72" fitToHeight="0" orientation="landscape" horizontalDpi="0" verticalDpi="0" r:id="rId1"/>
  <headerFooter>
    <oddHeader>&amp;LBLACK FRIDAY - 28-11-2025 - 06:27&amp;C&amp;P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2025-11-28T09:28:10Z</cp:lastPrinted>
  <dcterms:created xsi:type="dcterms:W3CDTF">2025-11-28T09:22:28Z</dcterms:created>
  <dcterms:modified xsi:type="dcterms:W3CDTF">2025-11-28T09:30:01Z</dcterms:modified>
</cp:coreProperties>
</file>